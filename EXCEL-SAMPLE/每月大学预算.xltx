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"/>
    </mc:Choice>
  </mc:AlternateContent>
  <bookViews>
    <workbookView xWindow="0" yWindow="0" windowWidth="25200" windowHeight="12570"/>
  </bookViews>
  <sheets>
    <sheet name="每月大学预算" sheetId="3" r:id="rId1"/>
    <sheet name="chart_calcs" sheetId="4" state="hidden" r:id="rId2"/>
  </sheets>
  <definedNames>
    <definedName name="_xlnm._FilterDatabase" localSheetId="0" hidden="1">每月大学预算!#REF!</definedName>
    <definedName name="byNextMNonth">UPPER(TEXT(EOMONTH(VALUE(chart_calcs!XFD1 &amp; "1"),0)+1,"mmm "))</definedName>
    <definedName name="byPass">IF(SelectedStartMonth="1月","JAN",IF(SelectedStartMonth="2月","FEB",IF(SelectedStartMonth="3月","MAR",IF(SelectedStartMonth="4月","APR",IF(SelectedStartMonth="5月","MAY",IF(SelectedStartMonth="6月","JUN",IF(SelectedStartMonth="7月","JUL",IF(SelectedStartMonth="8月","AUG",IF(SelectedStartMonth="9月","SEP",IF(SelectedStartMonth="10月","OCT",IF(SelectedStartMonth="11月","NOV",IF(SelectedStartMonth="12月","DEC",))))))))))))</definedName>
    <definedName name="CategoriesExpense">{"食宿";"学费";"书籍和用品";" 交通";"任意使用";"其他支出"}</definedName>
    <definedName name="CategoriesIncome">{" 助学金";"工资（税后）";"家教";"储蓄";"其他"}</definedName>
    <definedName name="FirstMonth">UPPER(TEXT(StartDate,"m 月"))</definedName>
    <definedName name="income_percent_selected_period">每月大学预算!$Q$33:$Q$37</definedName>
    <definedName name="NextMonth">UPPER(TEXT(EOMONTH(VALUE(chart_calcs!XFD1 &amp; "1"),0)+1,"m 月 "))</definedName>
    <definedName name="PercentsExpense">每月大学预算!$Q$41,每月大学预算!$Q$46,每月大学预算!$Q$50,每月大学预算!$Q$54,每月大学预算!$Q$60,每月大学预算!$Q$68</definedName>
    <definedName name="PercentsIncome">每月大学预算!$Q$33:$Q$37</definedName>
    <definedName name="Periods">每月大学预算!$D$28:$P$28</definedName>
    <definedName name="ScrollBarValue">chart_calcs!$D$13</definedName>
    <definedName name="SelectedPeriod">INDEX(Periods,,ScrollBarValue)</definedName>
    <definedName name="SelectedPeriodCashFlowNegative">INDEX(每月大学预算!$D$29:$P$29,,SelectedPeriodColumn) * NOT(SelectedPeriodIsFunded)</definedName>
    <definedName name="SelectedPeriodCashFlowNegative_Mirror">CHOOSE({1,2,3},0,SelectedPeriodCashFlowNegative,-(MAX(ABS(SelectedPeriodCashFlowNegative),SelectedPeriodCashFlowPositive)))</definedName>
    <definedName name="SelectedPeriodCashFlowPositive">INDEX(每月大学预算!$D$29:$P$29,,SelectedPeriodColumn) * SelectedPeriodIsFunded</definedName>
    <definedName name="SelectedPeriodCashFlowPositive_Mirror">CHOOSE({1,2,3},0,SelectedPeriodCashFlowPositive,(MAX(ABS(SelectedPeriodCashFlowNegative),SelectedPeriodCashFlowPositive)))</definedName>
    <definedName name="SelectedPeriodColumn">MATCH(SelectedPeriod,Periods,0)</definedName>
    <definedName name="SelectedPeriodIsFunded">INDEX(每月大学预算!$D$38:$P$38,,SelectedPeriodColumn)&gt;=INDEX(每月大学预算!$D$73:$P$73,,SelectedPeriodColumn)</definedName>
    <definedName name="SelectedStartMonth">每月大学预算!$B$26</definedName>
    <definedName name="StartDate">DATEVALUE(byPass &amp;  "1, " &amp; YEAR(TODAY()))</definedName>
  </definedNames>
  <calcPr calcId="152511"/>
</workbook>
</file>

<file path=xl/calcChain.xml><?xml version="1.0" encoding="utf-8"?>
<calcChain xmlns="http://schemas.openxmlformats.org/spreadsheetml/2006/main">
  <c r="D40" i="4" l="1"/>
  <c r="E40" i="4" s="1"/>
  <c r="F40" i="4" s="1"/>
  <c r="G40" i="4" s="1"/>
  <c r="H40" i="4" s="1"/>
  <c r="I40" i="4" s="1"/>
  <c r="J40" i="4" s="1"/>
  <c r="K40" i="4" s="1"/>
  <c r="L40" i="4" s="1"/>
  <c r="M40" i="4" s="1"/>
  <c r="N40" i="4" s="1"/>
  <c r="O40" i="4" s="1"/>
  <c r="D32" i="4"/>
  <c r="E32" i="4" s="1"/>
  <c r="F32" i="4" s="1"/>
  <c r="G32" i="4" s="1"/>
  <c r="H32" i="4" s="1"/>
  <c r="I32" i="4" s="1"/>
  <c r="J32" i="4" s="1"/>
  <c r="K32" i="4" s="1"/>
  <c r="L32" i="4" s="1"/>
  <c r="M32" i="4" s="1"/>
  <c r="N32" i="4" s="1"/>
  <c r="O32" i="4" s="1"/>
  <c r="D28" i="4"/>
  <c r="E28" i="4" s="1"/>
  <c r="F28" i="4" s="1"/>
  <c r="G28" i="4" s="1"/>
  <c r="H28" i="4" s="1"/>
  <c r="I28" i="4" s="1"/>
  <c r="J28" i="4" s="1"/>
  <c r="K28" i="4" s="1"/>
  <c r="L28" i="4" s="1"/>
  <c r="M28" i="4" s="1"/>
  <c r="N28" i="4" s="1"/>
  <c r="O28" i="4" s="1"/>
  <c r="P12" i="4" l="1"/>
  <c r="D28" i="3" l="1"/>
  <c r="D40" i="3"/>
  <c r="D32" i="3"/>
  <c r="D12" i="4" l="1"/>
  <c r="A2" i="3" l="1" a="1"/>
  <c r="A2" i="3" s="1"/>
  <c r="A6" i="3" l="1"/>
  <c r="A5" i="3"/>
  <c r="A4" i="3"/>
  <c r="A19" i="3"/>
  <c r="A13" i="3"/>
  <c r="A17" i="3"/>
  <c r="A10" i="3"/>
  <c r="A21" i="3"/>
  <c r="A15" i="3"/>
  <c r="A9" i="3"/>
  <c r="A3" i="3"/>
  <c r="A7" i="3"/>
  <c r="A18" i="3"/>
  <c r="A12" i="3"/>
  <c r="A11" i="3"/>
  <c r="A16" i="3"/>
  <c r="A20" i="3"/>
  <c r="A14" i="3"/>
  <c r="A8" i="3"/>
  <c r="O68" i="3" l="1"/>
  <c r="N68" i="3"/>
  <c r="M68" i="3"/>
  <c r="L68" i="3"/>
  <c r="K68" i="3"/>
  <c r="J68" i="3"/>
  <c r="I68" i="3"/>
  <c r="H68" i="3"/>
  <c r="G68" i="3"/>
  <c r="F68" i="3"/>
  <c r="E68" i="3"/>
  <c r="D68" i="3"/>
  <c r="O38" i="3"/>
  <c r="N38" i="3"/>
  <c r="M38" i="3"/>
  <c r="L38" i="3"/>
  <c r="K38" i="3"/>
  <c r="J38" i="3"/>
  <c r="I38" i="3"/>
  <c r="H38" i="3"/>
  <c r="G38" i="3"/>
  <c r="F38" i="3"/>
  <c r="E38" i="3"/>
  <c r="D38" i="3"/>
  <c r="P37" i="3"/>
  <c r="P36" i="3"/>
  <c r="P35" i="3"/>
  <c r="P34" i="3"/>
  <c r="P33" i="3"/>
  <c r="O60" i="3"/>
  <c r="N60" i="3"/>
  <c r="M60" i="3"/>
  <c r="L60" i="3"/>
  <c r="K60" i="3"/>
  <c r="J60" i="3"/>
  <c r="I60" i="3"/>
  <c r="H60" i="3"/>
  <c r="G60" i="3"/>
  <c r="F60" i="3"/>
  <c r="E60" i="3"/>
  <c r="D60" i="3"/>
  <c r="P62" i="3"/>
  <c r="P71" i="3"/>
  <c r="P70" i="3"/>
  <c r="P69" i="3"/>
  <c r="P66" i="3"/>
  <c r="P65" i="3"/>
  <c r="P64" i="3"/>
  <c r="P63" i="3"/>
  <c r="P61" i="3"/>
  <c r="O54" i="3"/>
  <c r="N54" i="3"/>
  <c r="M54" i="3"/>
  <c r="L54" i="3"/>
  <c r="K54" i="3"/>
  <c r="J54" i="3"/>
  <c r="I54" i="3"/>
  <c r="H54" i="3"/>
  <c r="G54" i="3"/>
  <c r="F54" i="3"/>
  <c r="E54" i="3"/>
  <c r="D54" i="3"/>
  <c r="P58" i="3"/>
  <c r="P57" i="3"/>
  <c r="P56" i="3"/>
  <c r="P55" i="3"/>
  <c r="P48" i="3"/>
  <c r="O50" i="3"/>
  <c r="N50" i="3"/>
  <c r="M50" i="3"/>
  <c r="L50" i="3"/>
  <c r="K50" i="3"/>
  <c r="J50" i="3"/>
  <c r="I50" i="3"/>
  <c r="H50" i="3"/>
  <c r="G50" i="3"/>
  <c r="F50" i="3"/>
  <c r="E50" i="3"/>
  <c r="D50" i="3"/>
  <c r="P52" i="3"/>
  <c r="P51" i="3"/>
  <c r="O46" i="3"/>
  <c r="N46" i="3"/>
  <c r="M46" i="3"/>
  <c r="L46" i="3"/>
  <c r="K46" i="3"/>
  <c r="J46" i="3"/>
  <c r="I46" i="3"/>
  <c r="H46" i="3"/>
  <c r="G46" i="3"/>
  <c r="F46" i="3"/>
  <c r="E46" i="3"/>
  <c r="D46" i="3"/>
  <c r="P47" i="3"/>
  <c r="O41" i="3"/>
  <c r="N41" i="3"/>
  <c r="M41" i="3"/>
  <c r="L41" i="3"/>
  <c r="K41" i="3"/>
  <c r="J41" i="3"/>
  <c r="I41" i="3"/>
  <c r="H41" i="3"/>
  <c r="G41" i="3"/>
  <c r="F41" i="3"/>
  <c r="E41" i="3"/>
  <c r="D41" i="3"/>
  <c r="P44" i="3"/>
  <c r="P43" i="3"/>
  <c r="P42" i="3"/>
  <c r="P38" i="3" l="1"/>
  <c r="P46" i="3"/>
  <c r="P54" i="3"/>
  <c r="P50" i="3"/>
  <c r="P60" i="3"/>
  <c r="P41" i="3"/>
  <c r="P68" i="3"/>
  <c r="K73" i="3"/>
  <c r="K29" i="3" s="1"/>
  <c r="E73" i="3"/>
  <c r="E29" i="3" s="1"/>
  <c r="N73" i="3"/>
  <c r="N29" i="3" s="1"/>
  <c r="H73" i="3"/>
  <c r="H29" i="3" s="1"/>
  <c r="I73" i="3"/>
  <c r="I29" i="3" s="1"/>
  <c r="O73" i="3"/>
  <c r="O29" i="3" s="1"/>
  <c r="D73" i="3"/>
  <c r="F73" i="3"/>
  <c r="F29" i="3" s="1"/>
  <c r="L73" i="3"/>
  <c r="L29" i="3" s="1"/>
  <c r="M73" i="3"/>
  <c r="M29" i="3" s="1"/>
  <c r="G73" i="3"/>
  <c r="G29" i="3" s="1"/>
  <c r="J73" i="3"/>
  <c r="J29" i="3" s="1"/>
  <c r="P73" i="3" l="1"/>
  <c r="D29" i="3"/>
  <c r="E8" i="4" s="1"/>
  <c r="F8" i="4" l="1"/>
  <c r="N6" i="3" s="1"/>
  <c r="P29" i="3"/>
  <c r="N30" i="3"/>
  <c r="M30" i="3"/>
  <c r="G30" i="3"/>
  <c r="L30" i="3"/>
  <c r="F30" i="3"/>
  <c r="H30" i="3"/>
  <c r="K30" i="3"/>
  <c r="E30" i="3"/>
  <c r="J30" i="3"/>
  <c r="D30" i="3"/>
  <c r="O30" i="3"/>
  <c r="I30" i="3"/>
  <c r="E28" i="3" l="1"/>
  <c r="F28" i="3" s="1"/>
  <c r="G28" i="3" l="1"/>
  <c r="G12" i="4" s="1"/>
  <c r="D3" i="4"/>
  <c r="F12" i="4"/>
  <c r="H28" i="3"/>
  <c r="Q44" i="3"/>
  <c r="D14" i="4"/>
  <c r="Q66" i="3"/>
  <c r="Q50" i="3"/>
  <c r="F7" i="4"/>
  <c r="F6" i="3" s="1"/>
  <c r="Q36" i="3"/>
  <c r="D22" i="4" s="1"/>
  <c r="Q73" i="3"/>
  <c r="Q33" i="3"/>
  <c r="D19" i="4" s="1"/>
  <c r="Q68" i="3"/>
  <c r="Q43" i="3"/>
  <c r="Q58" i="3"/>
  <c r="Q56" i="3"/>
  <c r="P15" i="4"/>
  <c r="Q61" i="3"/>
  <c r="Q69" i="3"/>
  <c r="Q55" i="3"/>
  <c r="Q34" i="3"/>
  <c r="D20" i="4" s="1"/>
  <c r="Q38" i="3"/>
  <c r="Q42" i="3"/>
  <c r="Q62" i="3"/>
  <c r="Q64" i="3"/>
  <c r="Q60" i="3"/>
  <c r="F6" i="4"/>
  <c r="B6" i="3" s="1"/>
  <c r="Q47" i="3"/>
  <c r="Q48" i="3"/>
  <c r="Q63" i="3"/>
  <c r="Q51" i="3"/>
  <c r="Q70" i="3"/>
  <c r="Q65" i="3"/>
  <c r="Q71" i="3"/>
  <c r="Q37" i="3"/>
  <c r="D23" i="4" s="1"/>
  <c r="Q52" i="3"/>
  <c r="D15" i="4"/>
  <c r="P14" i="4"/>
  <c r="Q27" i="3"/>
  <c r="Q29" i="3"/>
  <c r="Q46" i="3"/>
  <c r="E12" i="4"/>
  <c r="Q35" i="3"/>
  <c r="D21" i="4" s="1"/>
  <c r="Q54" i="3"/>
  <c r="Q41" i="3"/>
  <c r="Q57" i="3"/>
  <c r="I28" i="3" l="1"/>
  <c r="H12" i="4"/>
  <c r="D6" i="4"/>
  <c r="B5" i="3" s="1"/>
  <c r="D7" i="4"/>
  <c r="F5" i="3" s="1"/>
  <c r="D8" i="4"/>
  <c r="N5" i="3" s="1"/>
  <c r="J28" i="3" l="1"/>
  <c r="I12" i="4"/>
  <c r="K28" i="3" l="1"/>
  <c r="J12" i="4"/>
  <c r="L28" i="3" l="1"/>
  <c r="K12" i="4"/>
  <c r="M28" i="3" l="1"/>
  <c r="L12" i="4"/>
  <c r="N28" i="3" l="1"/>
  <c r="M12" i="4"/>
  <c r="O28" i="3" l="1"/>
  <c r="O12" i="4" s="1"/>
  <c r="N12" i="4"/>
  <c r="E32" i="3"/>
  <c r="F32" i="3" s="1"/>
  <c r="E40" i="3"/>
  <c r="F40" i="3" s="1"/>
  <c r="G40" i="3" s="1"/>
  <c r="H40" i="3" s="1"/>
  <c r="I40" i="3" s="1"/>
  <c r="J40" i="3" s="1"/>
  <c r="K40" i="3" s="1"/>
  <c r="L40" i="3" s="1"/>
  <c r="M40" i="3" s="1"/>
  <c r="N40" i="3" s="1"/>
  <c r="O40" i="3" s="1"/>
  <c r="F15" i="4" l="1"/>
  <c r="F14" i="4"/>
  <c r="G32" i="3"/>
  <c r="E15" i="4"/>
  <c r="E14" i="4"/>
  <c r="G14" i="4" l="1"/>
  <c r="H32" i="3"/>
  <c r="G15" i="4"/>
  <c r="I32" i="3" l="1"/>
  <c r="H15" i="4"/>
  <c r="H14" i="4"/>
  <c r="I14" i="4" l="1"/>
  <c r="J32" i="3"/>
  <c r="I15" i="4"/>
  <c r="J15" i="4" l="1"/>
  <c r="K32" i="3"/>
  <c r="J14" i="4"/>
  <c r="K15" i="4" l="1"/>
  <c r="K14" i="4"/>
  <c r="L32" i="3"/>
  <c r="L14" i="4" l="1"/>
  <c r="M32" i="3"/>
  <c r="L15" i="4"/>
  <c r="N32" i="3" l="1"/>
  <c r="M14" i="4"/>
  <c r="M15" i="4"/>
  <c r="N14" i="4" l="1"/>
  <c r="N15" i="4"/>
  <c r="O32" i="3"/>
  <c r="O14" i="4" l="1"/>
  <c r="O15" i="4"/>
</calcChain>
</file>

<file path=xl/sharedStrings.xml><?xml version="1.0" encoding="utf-8"?>
<sst xmlns="http://schemas.openxmlformats.org/spreadsheetml/2006/main" count="59" uniqueCount="51">
  <si>
    <t xml:space="preserve">% INC </t>
  </si>
  <si>
    <t>每月</t>
  </si>
  <si>
    <t>大学预算</t>
  </si>
  <si>
    <t>每月支出后的现金</t>
    <phoneticPr fontId="5" type="noConversion"/>
  </si>
  <si>
    <t>现金流</t>
  </si>
  <si>
    <t>累计现金流</t>
  </si>
  <si>
    <t>月收入</t>
  </si>
  <si>
    <t>向您提供的财政援助（助学金、奖学金、贷款）</t>
  </si>
  <si>
    <t>税后工资</t>
  </si>
  <si>
    <t>家人财务帮助</t>
  </si>
  <si>
    <t>储蓄提款</t>
  </si>
  <si>
    <t>其他（子女抚养、公共援助、礼品等）</t>
  </si>
  <si>
    <t>总收入</t>
  </si>
  <si>
    <t>月支出</t>
  </si>
  <si>
    <t>食宿</t>
  </si>
  <si>
    <t>租金、抵押贷款或宿舍的房间</t>
  </si>
  <si>
    <t>饮食（杂货或膳食计划）</t>
  </si>
  <si>
    <t>公共事业（暖气、水费、电费）</t>
  </si>
  <si>
    <t>学费</t>
  </si>
  <si>
    <t>您支付的学费</t>
  </si>
  <si>
    <t>您支付的费用</t>
  </si>
  <si>
    <t>书籍和用品</t>
  </si>
  <si>
    <t>教科书</t>
  </si>
  <si>
    <t>学校用品</t>
  </si>
  <si>
    <t>交通</t>
  </si>
  <si>
    <t>汽油、保养</t>
  </si>
  <si>
    <t>车辆缴费</t>
  </si>
  <si>
    <t>公交费用</t>
  </si>
  <si>
    <t>假日旅行</t>
  </si>
  <si>
    <t>任意使用</t>
  </si>
  <si>
    <t>储蓄</t>
  </si>
  <si>
    <t>移动电话、网费、有线电视</t>
  </si>
  <si>
    <t>捐赠</t>
  </si>
  <si>
    <t>小吃、在外就餐</t>
  </si>
  <si>
    <t>衣服</t>
  </si>
  <si>
    <t>娱乐（电影、约会、音乐会）</t>
  </si>
  <si>
    <t>其他支出</t>
  </si>
  <si>
    <t>保险（汽车、健康、承租）</t>
  </si>
  <si>
    <t>贷款、信用卡还款</t>
  </si>
  <si>
    <t>其他</t>
  </si>
  <si>
    <t>总支出</t>
  </si>
  <si>
    <r>
      <t>***</t>
    </r>
    <r>
      <rPr>
        <sz val="10"/>
        <color theme="3" tint="0.34998626667073579"/>
        <rFont val="宋体"/>
        <family val="3"/>
        <charset val="134"/>
        <scheme val="minor"/>
      </rPr>
      <t>此工作表应保持为隐藏状态</t>
    </r>
    <r>
      <rPr>
        <sz val="10"/>
        <color theme="3" tint="0.34998626667073579"/>
        <rFont val="Trebuchet MS"/>
        <family val="2"/>
        <scheme val="minor"/>
      </rPr>
      <t>***</t>
    </r>
    <phoneticPr fontId="5" type="noConversion"/>
  </si>
  <si>
    <t>动态图表标题</t>
  </si>
  <si>
    <r>
      <t>滚动条值：</t>
    </r>
    <r>
      <rPr>
        <sz val="10"/>
        <color theme="3" tint="0.34998626667073579"/>
        <rFont val="Trebuchet MS"/>
        <family val="2"/>
        <scheme val="minor"/>
      </rPr>
      <t xml:space="preserve"> </t>
    </r>
  </si>
  <si>
    <r>
      <t>现金流图表：</t>
    </r>
    <r>
      <rPr>
        <sz val="10"/>
        <color theme="3" tint="0.34998626667073579"/>
        <rFont val="Trebuchet MS"/>
        <family val="2"/>
        <scheme val="minor"/>
      </rPr>
      <t xml:space="preserve"> </t>
    </r>
  </si>
  <si>
    <r>
      <t>累计：</t>
    </r>
    <r>
      <rPr>
        <sz val="10"/>
        <color theme="3" tint="0.34998626667073579"/>
        <rFont val="Trebuchet MS"/>
        <family val="2"/>
        <scheme val="minor"/>
      </rPr>
      <t xml:space="preserve"> </t>
    </r>
  </si>
  <si>
    <t>收入图表数据</t>
  </si>
  <si>
    <t>年</t>
  </si>
  <si>
    <t>年</t>
    <phoneticPr fontId="5" type="noConversion"/>
  </si>
  <si>
    <t xml:space="preserve"> 选择第一个预算月份</t>
    <phoneticPr fontId="5" type="noConversion"/>
  </si>
  <si>
    <t>1月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</si>
</sst>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mmm"/>
    <numFmt numFmtId="177" formatCode="0.0%"/>
    <numFmt numFmtId="179" formatCode="0.0%;\!\(0.0%\!\)"/>
    <numFmt numFmtId="180" formatCode="[$-F800]dddd\!\,\!\ mmmm\!\ dd\!\,\!\ yyyy"/>
    <numFmt numFmtId="181" formatCode="m&quot;月&quot;"/>
    <numFmt numFmtId="182" formatCode="#,##0_);[Red]\!\(#,##0\!\);\-\ \ "/>
  </numFmts>
  <fonts count="20" x14ac:knownFonts="1">
    <font>
      <sz val="10"/>
      <color theme="3" tint="0.34998626667073579"/>
      <name val="Trebuchet MS"/>
      <family val="2"/>
      <scheme val="minor"/>
    </font>
    <font>
      <sz val="11"/>
      <color theme="0"/>
      <name val="Trebuchet MS"/>
      <family val="2"/>
      <scheme val="minor"/>
    </font>
    <font>
      <sz val="14"/>
      <color theme="1" tint="0.499984740745262"/>
      <name val="Trebuchet MS"/>
      <family val="2"/>
      <scheme val="minor"/>
    </font>
    <font>
      <sz val="30"/>
      <color theme="1" tint="0.499984740745262"/>
      <name val="Trebuchet MS"/>
      <family val="2"/>
      <scheme val="minor"/>
    </font>
    <font>
      <sz val="11"/>
      <color theme="3" tint="0.499984740745262"/>
      <name val="Cambria"/>
      <family val="1"/>
      <scheme val="major"/>
    </font>
    <font>
      <sz val="9"/>
      <name val="宋体"/>
      <family val="3"/>
      <charset val="134"/>
      <scheme val="minor"/>
    </font>
    <font>
      <sz val="10"/>
      <color theme="3" tint="0.34998626667073579"/>
      <name val="宋体"/>
      <family val="3"/>
      <charset val="134"/>
      <scheme val="minor"/>
    </font>
    <font>
      <sz val="9"/>
      <color theme="1" tint="0.34998626667073579"/>
      <name val="Microsoft YaHei UI"/>
      <family val="2"/>
      <charset val="134"/>
    </font>
    <font>
      <b/>
      <sz val="42"/>
      <color theme="4"/>
      <name val="Microsoft YaHei UI"/>
      <family val="2"/>
      <charset val="134"/>
    </font>
    <font>
      <sz val="14"/>
      <color theme="1" tint="0.499984740745262"/>
      <name val="Microsoft YaHei UI"/>
      <family val="2"/>
      <charset val="134"/>
    </font>
    <font>
      <sz val="30"/>
      <color theme="1" tint="0.499984740745262"/>
      <name val="Microsoft YaHei UI"/>
      <family val="2"/>
      <charset val="134"/>
    </font>
    <font>
      <sz val="10"/>
      <color theme="3" tint="0.34998626667073579"/>
      <name val="Microsoft YaHei UI"/>
      <family val="2"/>
      <charset val="134"/>
    </font>
    <font>
      <b/>
      <sz val="10.5"/>
      <color theme="0"/>
      <name val="Microsoft YaHei UI"/>
      <family val="2"/>
      <charset val="134"/>
    </font>
    <font>
      <b/>
      <sz val="10.5"/>
      <color theme="4"/>
      <name val="Microsoft YaHei UI"/>
      <family val="2"/>
      <charset val="134"/>
    </font>
    <font>
      <b/>
      <sz val="9"/>
      <color theme="1" tint="0.34998626667073579"/>
      <name val="Microsoft YaHei UI"/>
      <family val="2"/>
      <charset val="134"/>
    </font>
    <font>
      <b/>
      <sz val="15"/>
      <color theme="4"/>
      <name val="Microsoft YaHei UI"/>
      <family val="2"/>
      <charset val="134"/>
    </font>
    <font>
      <sz val="10"/>
      <color theme="1" tint="0.34998626667073579"/>
      <name val="Microsoft YaHei UI"/>
      <family val="2"/>
      <charset val="134"/>
    </font>
    <font>
      <b/>
      <sz val="10"/>
      <color theme="4"/>
      <name val="Microsoft YaHei UI"/>
      <family val="2"/>
      <charset val="134"/>
    </font>
    <font>
      <sz val="10"/>
      <color theme="5"/>
      <name val="Microsoft YaHei UI"/>
      <family val="2"/>
      <charset val="134"/>
    </font>
    <font>
      <b/>
      <sz val="10"/>
      <color theme="5"/>
      <name val="Microsoft YaHei UI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0" tint="-4.9989318521683403E-2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rgb="FFFFFFFF"/>
      </top>
      <bottom/>
      <diagonal/>
    </border>
    <border>
      <left/>
      <right/>
      <top style="thin">
        <color theme="5"/>
      </top>
      <bottom/>
      <diagonal/>
    </border>
    <border>
      <left/>
      <right/>
      <top/>
      <bottom style="thin">
        <color theme="4"/>
      </bottom>
      <diagonal/>
    </border>
    <border>
      <left/>
      <right/>
      <top/>
      <bottom style="thick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/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double">
        <color theme="0" tint="-0.14996795556505021"/>
      </bottom>
      <diagonal/>
    </border>
    <border>
      <left style="thin">
        <color theme="0"/>
      </left>
      <right/>
      <top style="thick">
        <color theme="0" tint="-0.14996795556505021"/>
      </top>
      <bottom style="thin">
        <color theme="0"/>
      </bottom>
      <diagonal/>
    </border>
    <border>
      <left/>
      <right/>
      <top style="thick">
        <color theme="0" tint="-0.14996795556505021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/>
      <top style="thin">
        <color theme="5"/>
      </top>
      <bottom style="thin">
        <color theme="0"/>
      </bottom>
      <diagonal/>
    </border>
  </borders>
  <cellStyleXfs count="6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82">
    <xf numFmtId="0" fontId="0" fillId="0" borderId="0" xfId="0"/>
    <xf numFmtId="0" fontId="0" fillId="0" borderId="1" xfId="0" applyFill="1" applyBorder="1"/>
    <xf numFmtId="0" fontId="0" fillId="0" borderId="0" xfId="0" applyFill="1"/>
    <xf numFmtId="0" fontId="0" fillId="0" borderId="0" xfId="0" applyFill="1" applyAlignment="1" applyProtection="1">
      <alignment horizontal="center"/>
      <protection locked="0"/>
    </xf>
    <xf numFmtId="0" fontId="0" fillId="0" borderId="0" xfId="0" applyFill="1" applyAlignment="1">
      <alignment horizontal="center"/>
    </xf>
    <xf numFmtId="177" fontId="0" fillId="0" borderId="0" xfId="0" applyNumberFormat="1" applyFill="1"/>
    <xf numFmtId="0" fontId="6" fillId="0" borderId="1" xfId="0" applyFont="1" applyFill="1" applyBorder="1"/>
    <xf numFmtId="0" fontId="6" fillId="0" borderId="0" xfId="0" applyFont="1" applyFill="1" applyAlignment="1">
      <alignment horizontal="right"/>
    </xf>
    <xf numFmtId="0" fontId="6" fillId="0" borderId="1" xfId="0" applyFont="1" applyFill="1" applyBorder="1" applyAlignment="1">
      <alignment horizontal="right" indent="5"/>
    </xf>
    <xf numFmtId="0" fontId="6" fillId="0" borderId="0" xfId="0" applyFont="1" applyFill="1"/>
    <xf numFmtId="0" fontId="7" fillId="0" borderId="0" xfId="0" applyNumberFormat="1" applyFont="1" applyFill="1" applyAlignment="1">
      <alignment vertical="center"/>
    </xf>
    <xf numFmtId="0" fontId="8" fillId="0" borderId="0" xfId="0" applyFont="1" applyFill="1" applyAlignment="1"/>
    <xf numFmtId="0" fontId="7" fillId="0" borderId="0" xfId="0" applyFont="1" applyFill="1" applyAlignment="1">
      <alignment vertical="center"/>
    </xf>
    <xf numFmtId="0" fontId="7" fillId="0" borderId="0" xfId="0" applyFont="1" applyFill="1"/>
    <xf numFmtId="0" fontId="7" fillId="0" borderId="11" xfId="0" applyFont="1" applyFill="1" applyBorder="1"/>
    <xf numFmtId="0" fontId="9" fillId="0" borderId="0" xfId="0" applyFont="1" applyFill="1" applyAlignment="1">
      <alignment horizontal="left" indent="1"/>
    </xf>
    <xf numFmtId="0" fontId="9" fillId="0" borderId="0" xfId="3" applyFont="1" applyFill="1" applyAlignment="1">
      <alignment horizontal="left" indent="2"/>
    </xf>
    <xf numFmtId="0" fontId="9" fillId="0" borderId="0" xfId="3" applyFont="1" applyFill="1" applyAlignment="1">
      <alignment horizontal="left" indent="3"/>
    </xf>
    <xf numFmtId="0" fontId="10" fillId="0" borderId="0" xfId="0" applyFont="1" applyFill="1" applyAlignment="1">
      <alignment horizontal="left"/>
    </xf>
    <xf numFmtId="0" fontId="10" fillId="0" borderId="0" xfId="2" applyFont="1" applyFill="1" applyAlignment="1">
      <alignment horizontal="left" indent="1"/>
    </xf>
    <xf numFmtId="0" fontId="10" fillId="0" borderId="0" xfId="2" applyFont="1" applyFill="1" applyAlignment="1">
      <alignment horizontal="left" indent="2"/>
    </xf>
    <xf numFmtId="0" fontId="11" fillId="0" borderId="0" xfId="0" applyFont="1"/>
    <xf numFmtId="14" fontId="12" fillId="2" borderId="0" xfId="1" applyNumberFormat="1" applyFont="1" applyBorder="1" applyAlignment="1" applyProtection="1">
      <alignment horizontal="center"/>
      <protection locked="0"/>
    </xf>
    <xf numFmtId="0" fontId="7" fillId="0" borderId="0" xfId="0" applyFont="1" applyFill="1" applyAlignment="1">
      <alignment horizontal="left" wrapText="1"/>
    </xf>
    <xf numFmtId="176" fontId="13" fillId="0" borderId="0" xfId="0" applyNumberFormat="1" applyFont="1" applyFill="1" applyBorder="1" applyAlignment="1">
      <alignment horizontal="center" vertical="center"/>
    </xf>
    <xf numFmtId="0" fontId="14" fillId="0" borderId="0" xfId="0" applyFont="1" applyFill="1" applyAlignment="1">
      <alignment horizontal="center"/>
    </xf>
    <xf numFmtId="0" fontId="15" fillId="0" borderId="0" xfId="0" applyFont="1" applyFill="1"/>
    <xf numFmtId="176" fontId="13" fillId="0" borderId="0" xfId="0" applyNumberFormat="1" applyFont="1" applyFill="1" applyAlignment="1">
      <alignment horizontal="right"/>
    </xf>
    <xf numFmtId="0" fontId="13" fillId="0" borderId="0" xfId="0" applyFont="1" applyFill="1" applyAlignment="1">
      <alignment horizontal="right"/>
    </xf>
    <xf numFmtId="0" fontId="13" fillId="0" borderId="0" xfId="0" applyFont="1" applyFill="1" applyAlignment="1">
      <alignment horizontal="center"/>
    </xf>
    <xf numFmtId="0" fontId="16" fillId="3" borderId="0" xfId="0" applyFont="1" applyFill="1"/>
    <xf numFmtId="38" fontId="16" fillId="3" borderId="0" xfId="0" applyNumberFormat="1" applyFont="1" applyFill="1"/>
    <xf numFmtId="179" fontId="16" fillId="3" borderId="0" xfId="0" applyNumberFormat="1" applyFont="1" applyFill="1" applyAlignment="1">
      <alignment horizontal="right" indent="1"/>
    </xf>
    <xf numFmtId="0" fontId="16" fillId="3" borderId="2" xfId="0" applyFont="1" applyFill="1" applyBorder="1"/>
    <xf numFmtId="38" fontId="16" fillId="3" borderId="2" xfId="0" applyNumberFormat="1" applyFont="1" applyFill="1" applyBorder="1"/>
    <xf numFmtId="0" fontId="16" fillId="0" borderId="11" xfId="0" applyFont="1" applyFill="1" applyBorder="1"/>
    <xf numFmtId="0" fontId="17" fillId="0" borderId="5" xfId="0" applyFont="1" applyFill="1" applyBorder="1"/>
    <xf numFmtId="176" fontId="17" fillId="0" borderId="5" xfId="0" applyNumberFormat="1" applyFont="1" applyFill="1" applyBorder="1" applyAlignment="1">
      <alignment horizontal="right"/>
    </xf>
    <xf numFmtId="0" fontId="17" fillId="0" borderId="5" xfId="0" applyFont="1" applyFill="1" applyBorder="1" applyAlignment="1">
      <alignment horizontal="right"/>
    </xf>
    <xf numFmtId="0" fontId="17" fillId="0" borderId="5" xfId="0" applyFont="1" applyFill="1" applyBorder="1" applyAlignment="1">
      <alignment horizontal="center"/>
    </xf>
    <xf numFmtId="0" fontId="16" fillId="0" borderId="0" xfId="0" applyFont="1" applyFill="1" applyBorder="1"/>
    <xf numFmtId="38" fontId="18" fillId="3" borderId="12" xfId="0" applyNumberFormat="1" applyFont="1" applyFill="1" applyBorder="1"/>
    <xf numFmtId="177" fontId="18" fillId="3" borderId="13" xfId="0" applyNumberFormat="1" applyFont="1" applyFill="1" applyBorder="1" applyAlignment="1">
      <alignment horizontal="right" indent="1"/>
    </xf>
    <xf numFmtId="0" fontId="16" fillId="0" borderId="10" xfId="0" applyFont="1" applyFill="1" applyBorder="1"/>
    <xf numFmtId="38" fontId="18" fillId="3" borderId="14" xfId="0" applyNumberFormat="1" applyFont="1" applyFill="1" applyBorder="1"/>
    <xf numFmtId="177" fontId="18" fillId="3" borderId="15" xfId="0" applyNumberFormat="1" applyFont="1" applyFill="1" applyBorder="1" applyAlignment="1">
      <alignment horizontal="right" indent="1"/>
    </xf>
    <xf numFmtId="0" fontId="16" fillId="0" borderId="6" xfId="0" applyFont="1" applyFill="1" applyBorder="1"/>
    <xf numFmtId="38" fontId="18" fillId="3" borderId="16" xfId="0" applyNumberFormat="1" applyFont="1" applyFill="1" applyBorder="1"/>
    <xf numFmtId="177" fontId="18" fillId="3" borderId="17" xfId="0" applyNumberFormat="1" applyFont="1" applyFill="1" applyBorder="1" applyAlignment="1">
      <alignment horizontal="right" indent="1"/>
    </xf>
    <xf numFmtId="0" fontId="17" fillId="0" borderId="4" xfId="0" applyFont="1" applyFill="1" applyBorder="1"/>
    <xf numFmtId="38" fontId="17" fillId="0" borderId="4" xfId="0" applyNumberFormat="1" applyFont="1" applyFill="1" applyBorder="1"/>
    <xf numFmtId="177" fontId="17" fillId="0" borderId="4" xfId="0" applyNumberFormat="1" applyFont="1" applyFill="1" applyBorder="1" applyAlignment="1">
      <alignment horizontal="right" indent="1"/>
    </xf>
    <xf numFmtId="0" fontId="17" fillId="0" borderId="0" xfId="0" applyFont="1" applyFill="1"/>
    <xf numFmtId="176" fontId="17" fillId="0" borderId="0" xfId="0" applyNumberFormat="1" applyFont="1" applyFill="1" applyBorder="1" applyAlignment="1">
      <alignment horizontal="right"/>
    </xf>
    <xf numFmtId="0" fontId="17" fillId="0" borderId="0" xfId="0" applyFont="1" applyFill="1" applyBorder="1" applyAlignment="1">
      <alignment horizontal="right"/>
    </xf>
    <xf numFmtId="0" fontId="17" fillId="0" borderId="0" xfId="0" applyFont="1" applyFill="1" applyBorder="1" applyAlignment="1">
      <alignment horizontal="center"/>
    </xf>
    <xf numFmtId="0" fontId="19" fillId="0" borderId="3" xfId="0" applyFont="1" applyFill="1" applyBorder="1"/>
    <xf numFmtId="38" fontId="16" fillId="0" borderId="3" xfId="0" applyNumberFormat="1" applyFont="1" applyFill="1" applyBorder="1"/>
    <xf numFmtId="38" fontId="18" fillId="3" borderId="18" xfId="0" applyNumberFormat="1" applyFont="1" applyFill="1" applyBorder="1"/>
    <xf numFmtId="177" fontId="18" fillId="3" borderId="18" xfId="0" applyNumberFormat="1" applyFont="1" applyFill="1" applyBorder="1" applyAlignment="1">
      <alignment horizontal="right" indent="1"/>
    </xf>
    <xf numFmtId="0" fontId="16" fillId="0" borderId="0" xfId="0" applyFont="1" applyFill="1" applyBorder="1" applyAlignment="1">
      <alignment horizontal="left" indent="2"/>
    </xf>
    <xf numFmtId="0" fontId="16" fillId="0" borderId="7" xfId="0" applyFont="1" applyFill="1" applyBorder="1" applyAlignment="1">
      <alignment horizontal="left"/>
    </xf>
    <xf numFmtId="38" fontId="18" fillId="3" borderId="15" xfId="0" applyNumberFormat="1" applyFont="1" applyFill="1" applyBorder="1"/>
    <xf numFmtId="0" fontId="16" fillId="0" borderId="8" xfId="0" applyFont="1" applyFill="1" applyBorder="1" applyAlignment="1">
      <alignment horizontal="left"/>
    </xf>
    <xf numFmtId="0" fontId="16" fillId="0" borderId="9" xfId="0" applyFont="1" applyFill="1" applyBorder="1" applyAlignment="1">
      <alignment horizontal="left"/>
    </xf>
    <xf numFmtId="38" fontId="18" fillId="3" borderId="17" xfId="0" applyNumberFormat="1" applyFont="1" applyFill="1" applyBorder="1"/>
    <xf numFmtId="0" fontId="16" fillId="0" borderId="0" xfId="0" applyFont="1" applyFill="1" applyAlignment="1">
      <alignment horizontal="left" indent="1"/>
    </xf>
    <xf numFmtId="38" fontId="16" fillId="0" borderId="0" xfId="0" applyNumberFormat="1" applyFont="1" applyFill="1"/>
    <xf numFmtId="0" fontId="16" fillId="0" borderId="0" xfId="0" applyFont="1" applyFill="1"/>
    <xf numFmtId="0" fontId="16" fillId="0" borderId="10" xfId="0" applyFont="1" applyFill="1" applyBorder="1" applyAlignment="1">
      <alignment horizontal="left"/>
    </xf>
    <xf numFmtId="0" fontId="16" fillId="0" borderId="6" xfId="0" applyFont="1" applyFill="1" applyBorder="1" applyAlignment="1">
      <alignment horizontal="left"/>
    </xf>
    <xf numFmtId="0" fontId="16" fillId="0" borderId="0" xfId="0" applyFont="1" applyFill="1" applyBorder="1" applyAlignment="1">
      <alignment horizontal="left"/>
    </xf>
    <xf numFmtId="180" fontId="7" fillId="0" borderId="0" xfId="0" applyNumberFormat="1" applyFont="1" applyFill="1"/>
    <xf numFmtId="181" fontId="13" fillId="0" borderId="0" xfId="0" applyNumberFormat="1" applyFont="1" applyFill="1" applyAlignment="1">
      <alignment horizontal="right"/>
    </xf>
    <xf numFmtId="181" fontId="7" fillId="0" borderId="0" xfId="0" applyNumberFormat="1" applyFont="1" applyFill="1"/>
    <xf numFmtId="180" fontId="0" fillId="0" borderId="0" xfId="0" applyNumberFormat="1" applyFill="1"/>
    <xf numFmtId="182" fontId="16" fillId="0" borderId="0" xfId="0" applyNumberFormat="1" applyFont="1" applyFill="1" applyBorder="1" applyProtection="1">
      <protection locked="0"/>
    </xf>
    <xf numFmtId="182" fontId="16" fillId="0" borderId="10" xfId="0" applyNumberFormat="1" applyFont="1" applyFill="1" applyBorder="1" applyProtection="1">
      <protection locked="0"/>
    </xf>
    <xf numFmtId="182" fontId="16" fillId="0" borderId="6" xfId="0" applyNumberFormat="1" applyFont="1" applyFill="1" applyBorder="1" applyProtection="1">
      <protection locked="0"/>
    </xf>
    <xf numFmtId="182" fontId="16" fillId="0" borderId="7" xfId="0" applyNumberFormat="1" applyFont="1" applyFill="1" applyBorder="1" applyProtection="1">
      <protection locked="0"/>
    </xf>
    <xf numFmtId="182" fontId="16" fillId="0" borderId="8" xfId="0" applyNumberFormat="1" applyFont="1" applyFill="1" applyBorder="1" applyProtection="1">
      <protection locked="0"/>
    </xf>
    <xf numFmtId="182" fontId="16" fillId="0" borderId="9" xfId="0" applyNumberFormat="1" applyFont="1" applyFill="1" applyBorder="1" applyProtection="1">
      <protection locked="0"/>
    </xf>
  </cellXfs>
  <cellStyles count="6"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常规" xfId="0" builtinId="0" customBuiltin="1"/>
    <cellStyle name="着色 1" xfId="1" builtinId="29"/>
  </cellStyles>
  <dxfs count="1">
    <dxf>
      <font>
        <color theme="7"/>
      </font>
    </dxf>
  </dxfs>
  <tableStyles count="0" defaultTableStyle="TableStyleMedium2" defaultPivotStyle="PivotStyleLight16"/>
  <colors>
    <mruColors>
      <color rgb="FFFFFFFF"/>
      <color rgb="FFEEEEEE"/>
      <color rgb="FFF7F7F7"/>
      <color rgb="FFF0F0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32586220472440947"/>
          <c:w val="1"/>
          <c:h val="0.6563219597550306"/>
        </c:manualLayout>
      </c:layout>
      <c:barChart>
        <c:barDir val="bar"/>
        <c:grouping val="stacked"/>
        <c:varyColors val="0"/>
        <c:ser>
          <c:idx val="0"/>
          <c:order val="0"/>
          <c:tx>
            <c:v>正值</c:v>
          </c:tx>
          <c:spPr>
            <a:noFill/>
          </c:spPr>
          <c:invertIfNegative val="0"/>
          <c:dPt>
            <c:idx val="0"/>
            <c:invertIfNegative val="0"/>
            <c:bubble3D val="0"/>
          </c:dPt>
          <c:dPt>
            <c:idx val="1"/>
            <c:invertIfNegative val="0"/>
            <c:bubble3D val="0"/>
            <c:spPr>
              <a:solidFill>
                <a:schemeClr val="accent3"/>
              </a:solidFill>
            </c:spPr>
          </c:dPt>
          <c:dPt>
            <c:idx val="2"/>
            <c:invertIfNegative val="0"/>
            <c:bubble3D val="0"/>
          </c:dPt>
          <c:val>
            <c:numRef>
              <c:f>[0]!SelectedPeriodCashFlowPositive_Mirror</c:f>
              <c:numCache>
                <c:formatCode>General</c:formatCode>
                <c:ptCount val="3"/>
                <c:pt idx="0">
                  <c:v>0</c:v>
                </c:pt>
                <c:pt idx="1">
                  <c:v>1920</c:v>
                </c:pt>
                <c:pt idx="2">
                  <c:v>1920</c:v>
                </c:pt>
              </c:numCache>
            </c:numRef>
          </c:val>
        </c:ser>
        <c:ser>
          <c:idx val="1"/>
          <c:order val="1"/>
          <c:tx>
            <c:v>负值</c:v>
          </c:tx>
          <c:invertIfNegative val="0"/>
          <c:dPt>
            <c:idx val="0"/>
            <c:invertIfNegative val="0"/>
            <c:bubble3D val="0"/>
          </c:dPt>
          <c:dPt>
            <c:idx val="1"/>
            <c:invertIfNegative val="0"/>
            <c:bubble3D val="0"/>
            <c:spPr>
              <a:solidFill>
                <a:schemeClr val="accent4"/>
              </a:solidFill>
            </c:spPr>
          </c:dPt>
          <c:dPt>
            <c:idx val="2"/>
            <c:invertIfNegative val="0"/>
            <c:bubble3D val="0"/>
            <c:spPr>
              <a:noFill/>
            </c:spPr>
          </c:dPt>
          <c:val>
            <c:numRef>
              <c:f>[0]!SelectedPeriodCashFlowNegative_Mirror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-1920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10508464"/>
        <c:axId val="210507904"/>
      </c:barChart>
      <c:catAx>
        <c:axId val="210508464"/>
        <c:scaling>
          <c:orientation val="minMax"/>
        </c:scaling>
        <c:delete val="1"/>
        <c:axPos val="l"/>
        <c:numFmt formatCode=";;" sourceLinked="0"/>
        <c:majorTickMark val="none"/>
        <c:minorTickMark val="none"/>
        <c:tickLblPos val="nextTo"/>
        <c:crossAx val="210507904"/>
        <c:crosses val="autoZero"/>
        <c:auto val="1"/>
        <c:lblAlgn val="ctr"/>
        <c:lblOffset val="100"/>
        <c:noMultiLvlLbl val="0"/>
      </c:catAx>
      <c:valAx>
        <c:axId val="2105079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0508464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latin typeface="Microsoft YaHei UI" panose="020B0503020204020204" pitchFamily="34" charset="-122"/>
          <a:ea typeface="Microsoft YaHei UI" panose="020B0503020204020204" pitchFamily="34" charset="-122"/>
        </a:defRPr>
      </a:pPr>
      <a:endParaRPr lang="zh-CN"/>
    </a:p>
  </c:tx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56253995132894"/>
          <c:y val="0.24676610545633015"/>
          <c:w val="0.87143746004867106"/>
          <c:h val="0.43811877173889852"/>
        </c:manualLayout>
      </c:layout>
      <c:lineChart>
        <c:grouping val="standard"/>
        <c:varyColors val="0"/>
        <c:ser>
          <c:idx val="0"/>
          <c:order val="0"/>
          <c:tx>
            <c:v>现金流</c:v>
          </c:tx>
          <c:marker>
            <c:symbol val="none"/>
          </c:marker>
          <c:cat>
            <c:strRef>
              <c:f>chart_calcs!$D$12:$P$12</c:f>
              <c:strCache>
                <c:ptCount val="13"/>
                <c:pt idx="0">
                  <c:v>1 月</c:v>
                </c:pt>
                <c:pt idx="1">
                  <c:v>2 月 </c:v>
                </c:pt>
                <c:pt idx="2">
                  <c:v>3 月 </c:v>
                </c:pt>
                <c:pt idx="3">
                  <c:v>4 月 </c:v>
                </c:pt>
                <c:pt idx="4">
                  <c:v>5 月 </c:v>
                </c:pt>
                <c:pt idx="5">
                  <c:v>6 月 </c:v>
                </c:pt>
                <c:pt idx="6">
                  <c:v>7 月 </c:v>
                </c:pt>
                <c:pt idx="7">
                  <c:v>8 月 </c:v>
                </c:pt>
                <c:pt idx="8">
                  <c:v>9 月 </c:v>
                </c:pt>
                <c:pt idx="9">
                  <c:v>10 月 </c:v>
                </c:pt>
                <c:pt idx="10">
                  <c:v>11 月 </c:v>
                </c:pt>
                <c:pt idx="11">
                  <c:v>12 月 </c:v>
                </c:pt>
                <c:pt idx="12">
                  <c:v>年</c:v>
                </c:pt>
              </c:strCache>
            </c:strRef>
          </c:cat>
          <c:val>
            <c:numRef>
              <c:f>每月大学预算!$D$29:$P$29</c:f>
              <c:numCache>
                <c:formatCode>#,##0_);[Red]\(#,##0\)</c:formatCode>
                <c:ptCount val="13"/>
                <c:pt idx="0">
                  <c:v>1690</c:v>
                </c:pt>
                <c:pt idx="1">
                  <c:v>690</c:v>
                </c:pt>
                <c:pt idx="2">
                  <c:v>1920</c:v>
                </c:pt>
                <c:pt idx="3">
                  <c:v>1990</c:v>
                </c:pt>
                <c:pt idx="4">
                  <c:v>2040</c:v>
                </c:pt>
                <c:pt idx="5">
                  <c:v>-7710</c:v>
                </c:pt>
                <c:pt idx="6">
                  <c:v>1240</c:v>
                </c:pt>
                <c:pt idx="7">
                  <c:v>1540</c:v>
                </c:pt>
                <c:pt idx="8">
                  <c:v>-7210</c:v>
                </c:pt>
                <c:pt idx="9">
                  <c:v>1090</c:v>
                </c:pt>
                <c:pt idx="10">
                  <c:v>340</c:v>
                </c:pt>
                <c:pt idx="11">
                  <c:v>-3760</c:v>
                </c:pt>
                <c:pt idx="12">
                  <c:v>-6140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948080"/>
        <c:axId val="94948640"/>
      </c:lineChart>
      <c:scatterChart>
        <c:scatterStyle val="lineMarker"/>
        <c:varyColors val="0"/>
        <c:ser>
          <c:idx val="1"/>
          <c:order val="1"/>
          <c:tx>
            <c:v>正值所选周期</c:v>
          </c:tx>
          <c:spPr>
            <a:ln w="28575">
              <a:noFill/>
            </a:ln>
          </c:spPr>
          <c:marker>
            <c:symbol val="circle"/>
            <c:size val="14"/>
            <c:spPr>
              <a:solidFill>
                <a:schemeClr val="accent3"/>
              </a:solidFill>
              <a:ln>
                <a:noFill/>
              </a:ln>
            </c:spPr>
          </c:marker>
          <c:yVal>
            <c:numRef>
              <c:f>chart_calcs!$D$14:$P$14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1920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</c:ser>
        <c:ser>
          <c:idx val="2"/>
          <c:order val="2"/>
          <c:tx>
            <c:v>负值所选周期</c:v>
          </c:tx>
          <c:spPr>
            <a:ln w="28575">
              <a:noFill/>
            </a:ln>
          </c:spPr>
          <c:marker>
            <c:symbol val="circle"/>
            <c:size val="14"/>
            <c:spPr>
              <a:solidFill>
                <a:schemeClr val="accent4"/>
              </a:solidFill>
              <a:ln>
                <a:noFill/>
              </a:ln>
            </c:spPr>
          </c:marker>
          <c:yVal>
            <c:numRef>
              <c:f>chart_calcs!$D$15:$P$15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948080"/>
        <c:axId val="94948640"/>
      </c:scatterChart>
      <c:catAx>
        <c:axId val="94948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25400">
            <a:solidFill>
              <a:schemeClr val="bg1">
                <a:lumMod val="75000"/>
              </a:schemeClr>
            </a:solidFill>
          </a:ln>
        </c:spPr>
        <c:crossAx val="94948640"/>
        <c:crosses val="autoZero"/>
        <c:auto val="1"/>
        <c:lblAlgn val="ctr"/>
        <c:lblOffset val="100"/>
        <c:noMultiLvlLbl val="0"/>
      </c:catAx>
      <c:valAx>
        <c:axId val="94948640"/>
        <c:scaling>
          <c:orientation val="minMax"/>
        </c:scaling>
        <c:delete val="1"/>
        <c:axPos val="l"/>
        <c:numFmt formatCode="&quot;$&quot;#,##0" sourceLinked="0"/>
        <c:majorTickMark val="out"/>
        <c:minorTickMark val="none"/>
        <c:tickLblPos val="nextTo"/>
        <c:crossAx val="9494808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latin typeface="Microsoft YaHei UI" panose="020B0503020204020204" pitchFamily="34" charset="-122"/>
          <a:ea typeface="Microsoft YaHei UI" panose="020B0503020204020204" pitchFamily="34" charset="-122"/>
        </a:defRPr>
      </a:pPr>
      <a:endParaRPr lang="zh-CN"/>
    </a:p>
  </c:txPr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2347180086041775"/>
          <c:y val="4.3468066491688537E-2"/>
          <c:w val="0.54190547010788059"/>
          <c:h val="0.89865966754155724"/>
        </c:manualLayout>
      </c:layout>
      <c:doughnutChart>
        <c:varyColors val="1"/>
        <c:ser>
          <c:idx val="0"/>
          <c:order val="0"/>
          <c:spPr>
            <a:ln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accent4"/>
              </a:solidFill>
              <a:ln>
                <a:solidFill>
                  <a:schemeClr val="bg1"/>
                </a:solidFill>
              </a:ln>
            </c:spPr>
          </c:dPt>
          <c:dPt>
            <c:idx val="1"/>
            <c:bubble3D val="0"/>
            <c:spPr>
              <a:solidFill>
                <a:schemeClr val="accent1"/>
              </a:solidFill>
              <a:ln>
                <a:solidFill>
                  <a:schemeClr val="bg1"/>
                </a:solidFill>
              </a:ln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solidFill>
                  <a:schemeClr val="bg1"/>
                </a:solidFill>
              </a:ln>
            </c:spPr>
          </c:dPt>
          <c:dPt>
            <c:idx val="3"/>
            <c:bubble3D val="0"/>
            <c:spPr>
              <a:solidFill>
                <a:schemeClr val="accent2"/>
              </a:solidFill>
              <a:ln>
                <a:solidFill>
                  <a:schemeClr val="bg1"/>
                </a:solidFill>
              </a:ln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solidFill>
                  <a:schemeClr val="bg1"/>
                </a:solidFill>
              </a:ln>
            </c:spPr>
          </c:dPt>
          <c:cat>
            <c:strRef>
              <c:f>[0]!CategoriesIncome</c:f>
              <c:strCache>
                <c:ptCount val="5"/>
                <c:pt idx="0">
                  <c:v> 助学金</c:v>
                </c:pt>
                <c:pt idx="1">
                  <c:v>工资（税后）</c:v>
                </c:pt>
                <c:pt idx="2">
                  <c:v>家教</c:v>
                </c:pt>
                <c:pt idx="3">
                  <c:v>储蓄</c:v>
                </c:pt>
                <c:pt idx="4">
                  <c:v>其他</c:v>
                </c:pt>
              </c:strCache>
            </c:strRef>
          </c:cat>
          <c:val>
            <c:numRef>
              <c:f>chart_calcs!$D$19:$D$23</c:f>
              <c:numCache>
                <c:formatCode>0.0%</c:formatCode>
                <c:ptCount val="5"/>
                <c:pt idx="0">
                  <c:v>0.30927835051546393</c:v>
                </c:pt>
                <c:pt idx="1">
                  <c:v>0.18556701030927836</c:v>
                </c:pt>
                <c:pt idx="2">
                  <c:v>0.41237113402061853</c:v>
                </c:pt>
                <c:pt idx="3">
                  <c:v>6.1855670103092786E-2</c:v>
                </c:pt>
                <c:pt idx="4">
                  <c:v>3.0927835051546393E-2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3"/>
      </c:doughnutChart>
      <c:spPr>
        <a:noFill/>
      </c:spPr>
    </c:plotArea>
    <c:legend>
      <c:legendPos val="r"/>
      <c:layout>
        <c:manualLayout>
          <c:xMode val="edge"/>
          <c:yMode val="edge"/>
          <c:x val="5.9457921486701371E-3"/>
          <c:y val="0.32872572377500131"/>
          <c:w val="0.36469918218366959"/>
          <c:h val="0.48192447018502854"/>
        </c:manualLayout>
      </c:layout>
      <c:overlay val="0"/>
      <c:spPr>
        <a:noFill/>
        <a:ln>
          <a:noFill/>
        </a:ln>
      </c:spPr>
      <c:txPr>
        <a:bodyPr/>
        <a:lstStyle/>
        <a:p>
          <a:pPr rtl="0">
            <a:defRPr/>
          </a:pPr>
          <a:endParaRPr lang="zh-CN"/>
        </a:p>
      </c:txPr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latin typeface="Microsoft YaHei UI" panose="020B0503020204020204" pitchFamily="34" charset="-122"/>
          <a:ea typeface="Microsoft YaHei UI" panose="020B0503020204020204" pitchFamily="34" charset="-122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2347180086041775"/>
          <c:y val="4.3468066491688537E-2"/>
          <c:w val="0.54190547010788059"/>
          <c:h val="0.89865966754155724"/>
        </c:manualLayout>
      </c:layout>
      <c:doughnutChart>
        <c:varyColors val="1"/>
        <c:ser>
          <c:idx val="0"/>
          <c:order val="0"/>
          <c:spPr>
            <a:ln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accent4"/>
              </a:solidFill>
              <a:ln>
                <a:solidFill>
                  <a:schemeClr val="bg1"/>
                </a:solidFill>
              </a:ln>
            </c:spPr>
          </c:dPt>
          <c:dPt>
            <c:idx val="1"/>
            <c:bubble3D val="0"/>
            <c:spPr>
              <a:solidFill>
                <a:schemeClr val="accent1"/>
              </a:solidFill>
              <a:ln>
                <a:solidFill>
                  <a:schemeClr val="bg1"/>
                </a:solidFill>
              </a:ln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solidFill>
                  <a:schemeClr val="bg1"/>
                </a:solidFill>
              </a:ln>
            </c:spPr>
          </c:dPt>
          <c:dPt>
            <c:idx val="3"/>
            <c:bubble3D val="0"/>
            <c:spPr>
              <a:solidFill>
                <a:schemeClr val="accent2"/>
              </a:solidFill>
              <a:ln>
                <a:solidFill>
                  <a:schemeClr val="bg1"/>
                </a:solidFill>
              </a:ln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solidFill>
                  <a:schemeClr val="bg1"/>
                </a:solidFill>
              </a:ln>
            </c:spPr>
          </c:dPt>
          <c:cat>
            <c:strRef>
              <c:f>[0]!CategoriesExpense</c:f>
              <c:strCache>
                <c:ptCount val="6"/>
                <c:pt idx="0">
                  <c:v>食宿</c:v>
                </c:pt>
                <c:pt idx="1">
                  <c:v>学费</c:v>
                </c:pt>
                <c:pt idx="2">
                  <c:v>书籍和用品</c:v>
                </c:pt>
                <c:pt idx="3">
                  <c:v> 交通</c:v>
                </c:pt>
                <c:pt idx="4">
                  <c:v>任意使用</c:v>
                </c:pt>
                <c:pt idx="5">
                  <c:v>其他支出</c:v>
                </c:pt>
              </c:strCache>
            </c:strRef>
          </c:cat>
          <c:val>
            <c:numRef>
              <c:f>[0]!PercentsExpense</c:f>
              <c:numCache>
                <c:formatCode>0.0%</c:formatCode>
                <c:ptCount val="6"/>
                <c:pt idx="0">
                  <c:v>0.25302283922973579</c:v>
                </c:pt>
                <c:pt idx="1">
                  <c:v>0.33587102552619796</c:v>
                </c:pt>
                <c:pt idx="2">
                  <c:v>0.14554411106135243</c:v>
                </c:pt>
                <c:pt idx="3">
                  <c:v>7.792207792207792E-2</c:v>
                </c:pt>
                <c:pt idx="4">
                  <c:v>7.5682937751903268E-2</c:v>
                </c:pt>
                <c:pt idx="5">
                  <c:v>0.11195700850873265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3"/>
      </c:doughnutChart>
      <c:spPr>
        <a:noFill/>
      </c:spPr>
    </c:plotArea>
    <c:legend>
      <c:legendPos val="r"/>
      <c:layout>
        <c:manualLayout>
          <c:xMode val="edge"/>
          <c:yMode val="edge"/>
          <c:x val="0"/>
          <c:y val="0.32872572377500131"/>
          <c:w val="0.36469918218366959"/>
          <c:h val="0.48192447018502854"/>
        </c:manualLayout>
      </c:layout>
      <c:overlay val="0"/>
      <c:spPr>
        <a:noFill/>
        <a:ln>
          <a:noFill/>
        </a:ln>
      </c:spPr>
      <c:txPr>
        <a:bodyPr/>
        <a:lstStyle/>
        <a:p>
          <a:pPr rtl="0">
            <a:defRPr/>
          </a:pPr>
          <a:endParaRPr lang="zh-CN"/>
        </a:p>
      </c:txPr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latin typeface="Microsoft YaHei UI" panose="020B0503020204020204" pitchFamily="34" charset="-122"/>
          <a:ea typeface="Microsoft YaHei UI" panose="020B0503020204020204" pitchFamily="34" charset="-122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Scroll" dx="16" fmlaLink="chart_calcs!$D$13" horiz="1" max="13" min="1" page="3" val="3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1238250</xdr:colOff>
          <xdr:row>21</xdr:row>
          <xdr:rowOff>95250</xdr:rowOff>
        </xdr:from>
        <xdr:to>
          <xdr:col>16</xdr:col>
          <xdr:colOff>609600</xdr:colOff>
          <xdr:row>22</xdr:row>
          <xdr:rowOff>114300</xdr:rowOff>
        </xdr:to>
        <xdr:sp macro="" textlink="">
          <xdr:nvSpPr>
            <xdr:cNvPr id="1032" name="月滚动" descr="单击可按月份循环浏览预算摘要。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xdr:twoCellAnchor>
    <xdr:from>
      <xdr:col>13</xdr:col>
      <xdr:colOff>321559</xdr:colOff>
      <xdr:row>3</xdr:row>
      <xdr:rowOff>123825</xdr:rowOff>
    </xdr:from>
    <xdr:to>
      <xdr:col>17</xdr:col>
      <xdr:colOff>95250</xdr:colOff>
      <xdr:row>15</xdr:row>
      <xdr:rowOff>79661</xdr:rowOff>
    </xdr:to>
    <xdr:graphicFrame macro="">
      <xdr:nvGraphicFramePr>
        <xdr:cNvPr id="16" name="月现金流" descr="该条形图显示所选月份的正向和负向现金流。" title="月现金流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84573</xdr:colOff>
      <xdr:row>15</xdr:row>
      <xdr:rowOff>184184</xdr:rowOff>
    </xdr:from>
    <xdr:to>
      <xdr:col>17</xdr:col>
      <xdr:colOff>0</xdr:colOff>
      <xdr:row>21</xdr:row>
      <xdr:rowOff>656</xdr:rowOff>
    </xdr:to>
    <xdr:graphicFrame macro="">
      <xdr:nvGraphicFramePr>
        <xdr:cNvPr id="3" name="月现金流" descr="该折线图显示各个月份的正向和负向现金流。" title="月现金流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9526</xdr:colOff>
      <xdr:row>3</xdr:row>
      <xdr:rowOff>133350</xdr:rowOff>
    </xdr:from>
    <xdr:to>
      <xdr:col>4</xdr:col>
      <xdr:colOff>380814</xdr:colOff>
      <xdr:row>15</xdr:row>
      <xdr:rowOff>89186</xdr:rowOff>
    </xdr:to>
    <xdr:graphicFrame macro="">
      <xdr:nvGraphicFramePr>
        <xdr:cNvPr id="15" name="月收入摘要" descr="该圆环图显示所选月份的月收入摘要。" title="月收入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482419</xdr:colOff>
      <xdr:row>4</xdr:row>
      <xdr:rowOff>28322</xdr:rowOff>
    </xdr:from>
    <xdr:to>
      <xdr:col>4</xdr:col>
      <xdr:colOff>482419</xdr:colOff>
      <xdr:row>15</xdr:row>
      <xdr:rowOff>47387</xdr:rowOff>
    </xdr:to>
    <xdr:cxnSp macro="">
      <xdr:nvCxnSpPr>
        <xdr:cNvPr id="19" name="图表边框 1" descr="&quot;&quot;" title="图表边框 "/>
        <xdr:cNvCxnSpPr/>
      </xdr:nvCxnSpPr>
      <xdr:spPr>
        <a:xfrm>
          <a:off x="4778194" y="1780922"/>
          <a:ext cx="0" cy="2524140"/>
        </a:xfrm>
        <a:prstGeom prst="line">
          <a:avLst/>
        </a:prstGeom>
        <a:ln w="12700">
          <a:solidFill>
            <a:schemeClr val="bg1">
              <a:lumMod val="8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142874</xdr:colOff>
      <xdr:row>3</xdr:row>
      <xdr:rowOff>133350</xdr:rowOff>
    </xdr:from>
    <xdr:to>
      <xdr:col>12</xdr:col>
      <xdr:colOff>514730</xdr:colOff>
      <xdr:row>15</xdr:row>
      <xdr:rowOff>89186</xdr:rowOff>
    </xdr:to>
    <xdr:graphicFrame macro="">
      <xdr:nvGraphicFramePr>
        <xdr:cNvPr id="21" name="每月支出摘要" descr="Donut chart showing summary of monthly expenses for selected month." title="支出摘要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82971</xdr:colOff>
      <xdr:row>4</xdr:row>
      <xdr:rowOff>28322</xdr:rowOff>
    </xdr:from>
    <xdr:to>
      <xdr:col>13</xdr:col>
      <xdr:colOff>82971</xdr:colOff>
      <xdr:row>15</xdr:row>
      <xdr:rowOff>47387</xdr:rowOff>
    </xdr:to>
    <xdr:cxnSp macro="">
      <xdr:nvCxnSpPr>
        <xdr:cNvPr id="22" name="图表边框 2" descr="&quot;&quot;" title="图表边框 "/>
        <xdr:cNvCxnSpPr/>
      </xdr:nvCxnSpPr>
      <xdr:spPr>
        <a:xfrm>
          <a:off x="9179346" y="1780922"/>
          <a:ext cx="0" cy="2524140"/>
        </a:xfrm>
        <a:prstGeom prst="line">
          <a:avLst/>
        </a:prstGeom>
        <a:ln w="12700">
          <a:solidFill>
            <a:schemeClr val="bg1">
              <a:lumMod val="8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0.05841</cdr:x>
      <cdr:y>0.80655</cdr:y>
    </cdr:from>
    <cdr:to>
      <cdr:x>0.89327</cdr:x>
      <cdr:y>0.95755</cdr:y>
    </cdr:to>
    <cdr:sp macro="" textlink="chart_calcs!$D$8">
      <cdr:nvSpPr>
        <cdr:cNvPr id="2" name="TextBox 11"/>
        <cdr:cNvSpPr txBox="1"/>
      </cdr:nvSpPr>
      <cdr:spPr>
        <a:xfrm xmlns:a="http://schemas.openxmlformats.org/drawingml/2006/main">
          <a:off x="123645" y="2138496"/>
          <a:ext cx="1767266" cy="400366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86209F00-A850-4A99-AD2A-AA8609566827}" type="TxLink">
            <a:rPr lang="en-US" altLang="zh-CN" sz="1400">
              <a:solidFill>
                <a:srgbClr val="FFFFFF"/>
              </a:solidFill>
            </a:rPr>
            <a:pPr algn="ctr"/>
            <a:t>年现金流:</a:t>
          </a:fld>
          <a:endParaRPr lang="en-US" sz="1400">
            <a:solidFill>
              <a:srgbClr val="FFFFFF"/>
            </a:solidFill>
          </a:endParaRPr>
        </a:p>
      </cdr:txBody>
    </cdr:sp>
  </cdr:relSizeAnchor>
  <cdr:relSizeAnchor xmlns:cdr="http://schemas.openxmlformats.org/drawingml/2006/chartDrawing">
    <cdr:from>
      <cdr:x>0.49966</cdr:x>
      <cdr:y>0.45833</cdr:y>
    </cdr:from>
    <cdr:to>
      <cdr:x>0.49966</cdr:x>
      <cdr:y>0.85833</cdr:y>
    </cdr:to>
    <cdr:cxnSp macro="">
      <cdr:nvCxnSpPr>
        <cdr:cNvPr id="5" name="Straight Connector 4"/>
        <cdr:cNvCxnSpPr/>
      </cdr:nvCxnSpPr>
      <cdr:spPr>
        <a:xfrm xmlns:a="http://schemas.openxmlformats.org/drawingml/2006/main">
          <a:off x="1131929" y="1047750"/>
          <a:ext cx="0" cy="914400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0.17913</cdr:y>
    </cdr:from>
    <cdr:to>
      <cdr:x>0.07079</cdr:x>
      <cdr:y>0.53599</cdr:y>
    </cdr:to>
    <cdr:sp macro="" textlink="">
      <cdr:nvSpPr>
        <cdr:cNvPr id="2" name="TextBox 3"/>
        <cdr:cNvSpPr txBox="1"/>
      </cdr:nvSpPr>
      <cdr:spPr>
        <a:xfrm xmlns:a="http://schemas.openxmlformats.org/drawingml/2006/main">
          <a:off x="0" y="171870"/>
          <a:ext cx="764055" cy="342401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zh-CN" altLang="en-US" sz="1500" b="1">
              <a:solidFill>
                <a:schemeClr val="accent1"/>
              </a:solidFill>
              <a:latin typeface="+mj-lt"/>
            </a:rPr>
            <a:t>现金流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Monthly College Budget">
      <a:dk1>
        <a:sysClr val="windowText" lastClr="000000"/>
      </a:dk1>
      <a:lt1>
        <a:sysClr val="window" lastClr="FFFFFF"/>
      </a:lt1>
      <a:dk2>
        <a:srgbClr val="000000"/>
      </a:dk2>
      <a:lt2>
        <a:srgbClr val="FFFFFF"/>
      </a:lt2>
      <a:accent1>
        <a:srgbClr val="67BCD1"/>
      </a:accent1>
      <a:accent2>
        <a:srgbClr val="F09912"/>
      </a:accent2>
      <a:accent3>
        <a:srgbClr val="6ECC9E"/>
      </a:accent3>
      <a:accent4>
        <a:srgbClr val="EB4A17"/>
      </a:accent4>
      <a:accent5>
        <a:srgbClr val="9942AC"/>
      </a:accent5>
      <a:accent6>
        <a:srgbClr val="F749A2"/>
      </a:accent6>
      <a:hlink>
        <a:srgbClr val="67BCD1"/>
      </a:hlink>
      <a:folHlink>
        <a:srgbClr val="9942AC"/>
      </a:folHlink>
    </a:clrScheme>
    <a:fontScheme name="Monthly College Budget">
      <a:majorFont>
        <a:latin typeface="Cambria"/>
        <a:ea typeface=""/>
        <a:cs typeface=""/>
      </a:majorFont>
      <a:minorFont>
        <a:latin typeface="Trebuchet M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4"/>
    <pageSetUpPr fitToPage="1"/>
  </sheetPr>
  <dimension ref="A1:Z73"/>
  <sheetViews>
    <sheetView showGridLines="0" tabSelected="1" zoomScaleNormal="100" workbookViewId="0"/>
  </sheetViews>
  <sheetFormatPr defaultRowHeight="19.5" customHeight="1" x14ac:dyDescent="0.2"/>
  <cols>
    <col min="1" max="1" width="8.42578125" style="13" customWidth="1"/>
    <col min="2" max="2" width="4.42578125" style="13" customWidth="1"/>
    <col min="3" max="3" width="43.5703125" style="13" customWidth="1"/>
    <col min="4" max="15" width="8" style="13" customWidth="1"/>
    <col min="16" max="16" width="8.42578125" style="13" customWidth="1"/>
    <col min="17" max="17" width="11.140625" style="13" customWidth="1"/>
    <col min="18" max="22" width="9.140625" style="13"/>
    <col min="23" max="23" width="13.140625" style="13" bestFit="1" customWidth="1"/>
    <col min="24" max="16384" width="9.140625" style="13"/>
  </cols>
  <sheetData>
    <row r="1" spans="1:17" s="12" customFormat="1" ht="54" x14ac:dyDescent="0.8">
      <c r="A1" s="10"/>
      <c r="B1" s="11" t="s">
        <v>1</v>
      </c>
    </row>
    <row r="2" spans="1:17" ht="50.25" customHeight="1" x14ac:dyDescent="0.8">
      <c r="A2" s="13" t="str">
        <f t="array" ref="A2:A21">""</f>
        <v/>
      </c>
      <c r="B2" s="11" t="s">
        <v>2</v>
      </c>
    </row>
    <row r="3" spans="1:17" ht="19.5" customHeight="1" thickBot="1" x14ac:dyDescent="0.25">
      <c r="A3" s="13" t="str">
        <v/>
      </c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</row>
    <row r="4" spans="1:17" ht="15" customHeight="1" thickTop="1" x14ac:dyDescent="0.2">
      <c r="A4" s="13" t="str">
        <v/>
      </c>
    </row>
    <row r="5" spans="1:17" ht="19.5" customHeight="1" x14ac:dyDescent="0.3">
      <c r="A5" s="13" t="str">
        <v/>
      </c>
      <c r="B5" s="15" t="str">
        <f>chart_calcs!$D$6</f>
        <v>年收入:</v>
      </c>
      <c r="F5" s="16" t="str">
        <f>chart_calcs!$D$7</f>
        <v>年支出:</v>
      </c>
      <c r="N5" s="17" t="str">
        <f>chart_calcs!$D$8</f>
        <v>年现金流:</v>
      </c>
    </row>
    <row r="6" spans="1:17" ht="38.25" customHeight="1" x14ac:dyDescent="0.6">
      <c r="A6" s="13" t="str">
        <v/>
      </c>
      <c r="B6" s="18" t="str">
        <f ca="1">" "&amp;chart_calcs!$F$6</f>
        <v xml:space="preserve"> ¥24,250</v>
      </c>
      <c r="F6" s="19" t="str">
        <f ca="1">" "&amp;chart_calcs!$F$7</f>
        <v xml:space="preserve"> ¥22,330</v>
      </c>
      <c r="N6" s="20" t="str">
        <f>" "&amp;chart_calcs!$F$8</f>
        <v xml:space="preserve"> ¥1,920</v>
      </c>
    </row>
    <row r="7" spans="1:17" ht="19.5" customHeight="1" x14ac:dyDescent="0.25">
      <c r="A7" s="13" t="str">
        <v/>
      </c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</row>
    <row r="8" spans="1:17" ht="15" customHeight="1" x14ac:dyDescent="0.2">
      <c r="A8" s="13" t="str">
        <v/>
      </c>
    </row>
    <row r="9" spans="1:17" ht="15" customHeight="1" x14ac:dyDescent="0.2">
      <c r="A9" s="13" t="str">
        <v/>
      </c>
    </row>
    <row r="10" spans="1:17" ht="15" customHeight="1" x14ac:dyDescent="0.2">
      <c r="A10" s="13" t="str">
        <v/>
      </c>
    </row>
    <row r="11" spans="1:17" ht="15" customHeight="1" x14ac:dyDescent="0.2">
      <c r="A11" s="13" t="str">
        <v/>
      </c>
    </row>
    <row r="12" spans="1:17" ht="15" customHeight="1" x14ac:dyDescent="0.2">
      <c r="A12" s="13" t="str">
        <v/>
      </c>
    </row>
    <row r="13" spans="1:17" ht="15" customHeight="1" x14ac:dyDescent="0.2">
      <c r="A13" s="13" t="str">
        <v/>
      </c>
    </row>
    <row r="14" spans="1:17" ht="15" customHeight="1" x14ac:dyDescent="0.2">
      <c r="A14" s="13" t="str">
        <v/>
      </c>
    </row>
    <row r="15" spans="1:17" ht="15" customHeight="1" x14ac:dyDescent="0.2">
      <c r="A15" s="13" t="str">
        <v/>
      </c>
    </row>
    <row r="16" spans="1:17" ht="15" customHeight="1" x14ac:dyDescent="0.2">
      <c r="A16" s="13" t="str">
        <v/>
      </c>
    </row>
    <row r="17" spans="1:26" ht="15" customHeight="1" x14ac:dyDescent="0.2">
      <c r="A17" s="13" t="str">
        <v/>
      </c>
    </row>
    <row r="18" spans="1:26" ht="15" customHeight="1" x14ac:dyDescent="0.2">
      <c r="A18" s="13" t="str">
        <v/>
      </c>
    </row>
    <row r="19" spans="1:26" ht="15" customHeight="1" x14ac:dyDescent="0.2">
      <c r="A19" s="13" t="str">
        <v/>
      </c>
    </row>
    <row r="20" spans="1:26" ht="15" customHeight="1" x14ac:dyDescent="0.2">
      <c r="A20" s="13" t="str">
        <v/>
      </c>
    </row>
    <row r="21" spans="1:26" ht="15" customHeight="1" x14ac:dyDescent="0.2">
      <c r="A21" s="13" t="str">
        <v/>
      </c>
    </row>
    <row r="22" spans="1:26" ht="15" customHeight="1" x14ac:dyDescent="0.2"/>
    <row r="23" spans="1:26" ht="15" customHeight="1" x14ac:dyDescent="0.2"/>
    <row r="24" spans="1:26" ht="15" customHeight="1" thickBot="1" x14ac:dyDescent="0.25">
      <c r="B24" s="14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W24" s="72"/>
    </row>
    <row r="25" spans="1:26" ht="15" customHeight="1" thickTop="1" x14ac:dyDescent="0.2"/>
    <row r="26" spans="1:26" ht="19.5" customHeight="1" x14ac:dyDescent="0.25">
      <c r="B26" s="22" t="s">
        <v>50</v>
      </c>
      <c r="C26" s="23" t="s">
        <v>49</v>
      </c>
    </row>
    <row r="27" spans="1:26" ht="19.5" customHeight="1" x14ac:dyDescent="0.2">
      <c r="Q27" s="24" t="str">
        <f>SelectedPeriod</f>
        <v xml:space="preserve">3 月 </v>
      </c>
    </row>
    <row r="28" spans="1:26" ht="19.5" customHeight="1" x14ac:dyDescent="0.3">
      <c r="A28" s="25"/>
      <c r="B28" s="26" t="s">
        <v>3</v>
      </c>
      <c r="C28" s="26"/>
      <c r="D28" s="73" t="str">
        <f ca="1">FirstMonth</f>
        <v>1 月</v>
      </c>
      <c r="E28" s="27" t="str">
        <f>NextMonth</f>
        <v xml:space="preserve">2 月 </v>
      </c>
      <c r="F28" s="27" t="str">
        <f t="shared" ref="F28:O28" si="0">NextMonth</f>
        <v xml:space="preserve">3 月 </v>
      </c>
      <c r="G28" s="27" t="str">
        <f t="shared" si="0"/>
        <v xml:space="preserve">4 月 </v>
      </c>
      <c r="H28" s="27" t="str">
        <f t="shared" si="0"/>
        <v xml:space="preserve">5 月 </v>
      </c>
      <c r="I28" s="27" t="str">
        <f t="shared" si="0"/>
        <v xml:space="preserve">6 月 </v>
      </c>
      <c r="J28" s="27" t="str">
        <f t="shared" si="0"/>
        <v xml:space="preserve">7 月 </v>
      </c>
      <c r="K28" s="27" t="str">
        <f t="shared" si="0"/>
        <v xml:space="preserve">8 月 </v>
      </c>
      <c r="L28" s="27" t="str">
        <f t="shared" si="0"/>
        <v xml:space="preserve">9 月 </v>
      </c>
      <c r="M28" s="27" t="str">
        <f t="shared" si="0"/>
        <v xml:space="preserve">10 月 </v>
      </c>
      <c r="N28" s="27" t="str">
        <f t="shared" si="0"/>
        <v xml:space="preserve">11 月 </v>
      </c>
      <c r="O28" s="27" t="str">
        <f t="shared" si="0"/>
        <v xml:space="preserve">12 月 </v>
      </c>
      <c r="P28" s="28" t="s">
        <v>48</v>
      </c>
      <c r="Q28" s="29" t="s">
        <v>0</v>
      </c>
      <c r="Z28" s="74"/>
    </row>
    <row r="29" spans="1:26" ht="19.5" customHeight="1" thickBot="1" x14ac:dyDescent="0.3">
      <c r="B29" s="30" t="s">
        <v>4</v>
      </c>
      <c r="C29" s="30"/>
      <c r="D29" s="31">
        <f t="shared" ref="D29:O29" si="1">D38-D73</f>
        <v>1690</v>
      </c>
      <c r="E29" s="31">
        <f t="shared" si="1"/>
        <v>690</v>
      </c>
      <c r="F29" s="31">
        <f t="shared" si="1"/>
        <v>1920</v>
      </c>
      <c r="G29" s="31">
        <f t="shared" si="1"/>
        <v>1990</v>
      </c>
      <c r="H29" s="31">
        <f t="shared" si="1"/>
        <v>2040</v>
      </c>
      <c r="I29" s="31">
        <f t="shared" si="1"/>
        <v>-7710</v>
      </c>
      <c r="J29" s="31">
        <f t="shared" si="1"/>
        <v>1240</v>
      </c>
      <c r="K29" s="31">
        <f t="shared" si="1"/>
        <v>1540</v>
      </c>
      <c r="L29" s="31">
        <f t="shared" si="1"/>
        <v>-7210</v>
      </c>
      <c r="M29" s="31">
        <f t="shared" si="1"/>
        <v>1090</v>
      </c>
      <c r="N29" s="31">
        <f t="shared" si="1"/>
        <v>340</v>
      </c>
      <c r="O29" s="31">
        <f t="shared" si="1"/>
        <v>-3760</v>
      </c>
      <c r="P29" s="31">
        <f>SUM(D29:O29)</f>
        <v>-6140</v>
      </c>
      <c r="Q29" s="32">
        <f ca="1">INDEX($D29:$P29,,SelectedPeriodColumn)/INDEX($D$38:$P$38,,SelectedPeriodColumn)</f>
        <v>7.9175257731958756E-2</v>
      </c>
    </row>
    <row r="30" spans="1:26" ht="19.5" customHeight="1" x14ac:dyDescent="0.25">
      <c r="B30" s="33" t="s">
        <v>5</v>
      </c>
      <c r="C30" s="33"/>
      <c r="D30" s="34">
        <f>SUM($D$29:D$29)</f>
        <v>1690</v>
      </c>
      <c r="E30" s="34">
        <f>SUM($D$29:E$29)</f>
        <v>2380</v>
      </c>
      <c r="F30" s="34">
        <f>SUM($D$29:F$29)</f>
        <v>4300</v>
      </c>
      <c r="G30" s="34">
        <f>SUM($D$29:G$29)</f>
        <v>6290</v>
      </c>
      <c r="H30" s="34">
        <f>SUM($D$29:H$29)</f>
        <v>8330</v>
      </c>
      <c r="I30" s="34">
        <f>SUM($D$29:I$29)</f>
        <v>620</v>
      </c>
      <c r="J30" s="34">
        <f>SUM($D$29:J$29)</f>
        <v>1860</v>
      </c>
      <c r="K30" s="34">
        <f>SUM($D$29:K$29)</f>
        <v>3400</v>
      </c>
      <c r="L30" s="34">
        <f>SUM($D$29:L$29)</f>
        <v>-3810</v>
      </c>
      <c r="M30" s="34">
        <f>SUM($D$29:M$29)</f>
        <v>-2720</v>
      </c>
      <c r="N30" s="34">
        <f>SUM($D$29:N$29)</f>
        <v>-2380</v>
      </c>
      <c r="O30" s="34">
        <f>SUM($D$29:O$29)</f>
        <v>-6140</v>
      </c>
      <c r="P30" s="33"/>
      <c r="Q30" s="33"/>
    </row>
    <row r="31" spans="1:26" ht="19.5" customHeight="1" thickBot="1" x14ac:dyDescent="0.3">
      <c r="B31" s="35"/>
      <c r="C31" s="35"/>
      <c r="D31" s="35"/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</row>
    <row r="32" spans="1:26" ht="19.5" customHeight="1" thickTop="1" thickBot="1" x14ac:dyDescent="0.3">
      <c r="A32" s="25"/>
      <c r="B32" s="36" t="s">
        <v>6</v>
      </c>
      <c r="C32" s="36"/>
      <c r="D32" s="37" t="str">
        <f ca="1">FirstMonth</f>
        <v>1 月</v>
      </c>
      <c r="E32" s="37" t="str">
        <f t="shared" ref="E32:O32" si="2">NextMonth</f>
        <v xml:space="preserve">2 月 </v>
      </c>
      <c r="F32" s="37" t="str">
        <f t="shared" si="2"/>
        <v xml:space="preserve">3 月 </v>
      </c>
      <c r="G32" s="37" t="str">
        <f t="shared" si="2"/>
        <v xml:space="preserve">4 月 </v>
      </c>
      <c r="H32" s="37" t="str">
        <f t="shared" si="2"/>
        <v xml:space="preserve">5 月 </v>
      </c>
      <c r="I32" s="37" t="str">
        <f t="shared" si="2"/>
        <v xml:space="preserve">6 月 </v>
      </c>
      <c r="J32" s="37" t="str">
        <f t="shared" si="2"/>
        <v xml:space="preserve">7 月 </v>
      </c>
      <c r="K32" s="37" t="str">
        <f t="shared" si="2"/>
        <v xml:space="preserve">8 月 </v>
      </c>
      <c r="L32" s="37" t="str">
        <f t="shared" si="2"/>
        <v xml:space="preserve">9 月 </v>
      </c>
      <c r="M32" s="37" t="str">
        <f t="shared" si="2"/>
        <v xml:space="preserve">10 月 </v>
      </c>
      <c r="N32" s="37" t="str">
        <f t="shared" si="2"/>
        <v xml:space="preserve">11 月 </v>
      </c>
      <c r="O32" s="37" t="str">
        <f t="shared" si="2"/>
        <v xml:space="preserve">12 月 </v>
      </c>
      <c r="P32" s="38" t="s">
        <v>47</v>
      </c>
      <c r="Q32" s="39" t="s">
        <v>0</v>
      </c>
    </row>
    <row r="33" spans="1:17" ht="19.5" customHeight="1" thickTop="1" x14ac:dyDescent="0.25">
      <c r="B33" s="40" t="s">
        <v>7</v>
      </c>
      <c r="C33" s="40"/>
      <c r="D33" s="76">
        <v>0</v>
      </c>
      <c r="E33" s="76">
        <v>0</v>
      </c>
      <c r="F33" s="76">
        <v>7500</v>
      </c>
      <c r="G33" s="76">
        <v>7500</v>
      </c>
      <c r="H33" s="76">
        <v>7500</v>
      </c>
      <c r="I33" s="76">
        <v>7500</v>
      </c>
      <c r="J33" s="76">
        <v>7500</v>
      </c>
      <c r="K33" s="76">
        <v>7500</v>
      </c>
      <c r="L33" s="76">
        <v>7500</v>
      </c>
      <c r="M33" s="76">
        <v>7500</v>
      </c>
      <c r="N33" s="76">
        <v>7500</v>
      </c>
      <c r="O33" s="76">
        <v>7500</v>
      </c>
      <c r="P33" s="41">
        <f t="shared" ref="P33:P38" si="3">SUM(D33:O33)</f>
        <v>75000</v>
      </c>
      <c r="Q33" s="42">
        <f ca="1">INDEX($D33:$P33,,SelectedPeriodColumn)/INDEX($D$38:$P$38,,SelectedPeriodColumn)</f>
        <v>0.30927835051546393</v>
      </c>
    </row>
    <row r="34" spans="1:17" ht="19.5" customHeight="1" x14ac:dyDescent="0.25">
      <c r="B34" s="43" t="s">
        <v>8</v>
      </c>
      <c r="C34" s="43"/>
      <c r="D34" s="77">
        <v>4500</v>
      </c>
      <c r="E34" s="77">
        <v>4500</v>
      </c>
      <c r="F34" s="77">
        <v>4500</v>
      </c>
      <c r="G34" s="77">
        <v>4500</v>
      </c>
      <c r="H34" s="77">
        <v>4500</v>
      </c>
      <c r="I34" s="77">
        <v>4500</v>
      </c>
      <c r="J34" s="77">
        <v>4500</v>
      </c>
      <c r="K34" s="77">
        <v>4500</v>
      </c>
      <c r="L34" s="77">
        <v>5500</v>
      </c>
      <c r="M34" s="77">
        <v>3500</v>
      </c>
      <c r="N34" s="77">
        <v>3500</v>
      </c>
      <c r="O34" s="77">
        <v>350</v>
      </c>
      <c r="P34" s="44">
        <f t="shared" si="3"/>
        <v>48850</v>
      </c>
      <c r="Q34" s="45">
        <f ca="1">INDEX($D34:$P34,,SelectedPeriodColumn)/INDEX($D$38:$P$38,,SelectedPeriodColumn)</f>
        <v>0.18556701030927836</v>
      </c>
    </row>
    <row r="35" spans="1:17" ht="19.5" customHeight="1" x14ac:dyDescent="0.25">
      <c r="B35" s="43" t="s">
        <v>9</v>
      </c>
      <c r="C35" s="43"/>
      <c r="D35" s="77">
        <v>2000</v>
      </c>
      <c r="E35" s="77">
        <v>2000</v>
      </c>
      <c r="F35" s="77">
        <v>10000</v>
      </c>
      <c r="G35" s="77">
        <v>3500</v>
      </c>
      <c r="H35" s="77">
        <v>3500</v>
      </c>
      <c r="I35" s="77">
        <v>3500</v>
      </c>
      <c r="J35" s="77">
        <v>3500</v>
      </c>
      <c r="K35" s="77">
        <v>3500</v>
      </c>
      <c r="L35" s="77">
        <v>3500</v>
      </c>
      <c r="M35" s="77">
        <v>3500</v>
      </c>
      <c r="N35" s="77">
        <v>3500</v>
      </c>
      <c r="O35" s="77">
        <v>3500</v>
      </c>
      <c r="P35" s="44">
        <f t="shared" si="3"/>
        <v>45500</v>
      </c>
      <c r="Q35" s="45">
        <f ca="1">INDEX($D35:$P35,,SelectedPeriodColumn)/INDEX($D$38:$P$38,,SelectedPeriodColumn)</f>
        <v>0.41237113402061853</v>
      </c>
    </row>
    <row r="36" spans="1:17" ht="19.5" customHeight="1" x14ac:dyDescent="0.25">
      <c r="B36" s="43" t="s">
        <v>10</v>
      </c>
      <c r="C36" s="43"/>
      <c r="D36" s="77">
        <v>5000</v>
      </c>
      <c r="E36" s="77">
        <v>3500</v>
      </c>
      <c r="F36" s="77">
        <v>1500</v>
      </c>
      <c r="G36" s="77">
        <v>0</v>
      </c>
      <c r="H36" s="77">
        <v>0</v>
      </c>
      <c r="I36" s="77">
        <v>0</v>
      </c>
      <c r="J36" s="77">
        <v>0</v>
      </c>
      <c r="K36" s="77">
        <v>0</v>
      </c>
      <c r="L36" s="77">
        <v>0</v>
      </c>
      <c r="M36" s="77">
        <v>0</v>
      </c>
      <c r="N36" s="77">
        <v>0</v>
      </c>
      <c r="O36" s="77">
        <v>0</v>
      </c>
      <c r="P36" s="44">
        <f t="shared" si="3"/>
        <v>10000</v>
      </c>
      <c r="Q36" s="45">
        <f ca="1">INDEX($D36:$P36,,SelectedPeriodColumn)/INDEX($D$38:$P$38,,SelectedPeriodColumn)</f>
        <v>6.1855670103092786E-2</v>
      </c>
    </row>
    <row r="37" spans="1:17" ht="19.5" customHeight="1" x14ac:dyDescent="0.25">
      <c r="B37" s="46" t="s">
        <v>11</v>
      </c>
      <c r="C37" s="46"/>
      <c r="D37" s="78">
        <v>750</v>
      </c>
      <c r="E37" s="78">
        <v>750</v>
      </c>
      <c r="F37" s="78">
        <v>750</v>
      </c>
      <c r="G37" s="78">
        <v>750</v>
      </c>
      <c r="H37" s="78">
        <v>750</v>
      </c>
      <c r="I37" s="78">
        <v>750</v>
      </c>
      <c r="J37" s="78">
        <v>750</v>
      </c>
      <c r="K37" s="78">
        <v>750</v>
      </c>
      <c r="L37" s="78">
        <v>750</v>
      </c>
      <c r="M37" s="78">
        <v>750</v>
      </c>
      <c r="N37" s="78">
        <v>750</v>
      </c>
      <c r="O37" s="78">
        <v>750</v>
      </c>
      <c r="P37" s="47">
        <f t="shared" si="3"/>
        <v>9000</v>
      </c>
      <c r="Q37" s="48">
        <f ca="1">INDEX($D37:$P37,,SelectedPeriodColumn)/INDEX($D$38:$P$38,,SelectedPeriodColumn)</f>
        <v>3.0927835051546393E-2</v>
      </c>
    </row>
    <row r="38" spans="1:17" ht="19.5" customHeight="1" x14ac:dyDescent="0.25">
      <c r="B38" s="49" t="s">
        <v>12</v>
      </c>
      <c r="C38" s="49"/>
      <c r="D38" s="50">
        <f t="shared" ref="D38:O38" si="4">SUM(D33:D37)</f>
        <v>12250</v>
      </c>
      <c r="E38" s="50">
        <f t="shared" si="4"/>
        <v>10750</v>
      </c>
      <c r="F38" s="50">
        <f t="shared" si="4"/>
        <v>24250</v>
      </c>
      <c r="G38" s="50">
        <f t="shared" si="4"/>
        <v>16250</v>
      </c>
      <c r="H38" s="50">
        <f t="shared" si="4"/>
        <v>16250</v>
      </c>
      <c r="I38" s="50">
        <f t="shared" si="4"/>
        <v>16250</v>
      </c>
      <c r="J38" s="50">
        <f t="shared" si="4"/>
        <v>16250</v>
      </c>
      <c r="K38" s="50">
        <f t="shared" si="4"/>
        <v>16250</v>
      </c>
      <c r="L38" s="50">
        <f t="shared" si="4"/>
        <v>17250</v>
      </c>
      <c r="M38" s="50">
        <f t="shared" si="4"/>
        <v>15250</v>
      </c>
      <c r="N38" s="50">
        <f t="shared" si="4"/>
        <v>15250</v>
      </c>
      <c r="O38" s="50">
        <f t="shared" si="4"/>
        <v>12100</v>
      </c>
      <c r="P38" s="50">
        <f t="shared" si="3"/>
        <v>188350</v>
      </c>
      <c r="Q38" s="51">
        <f ca="1">INDEX($D38:$P38,,SelectedPeriodColumn)/INDEX($D$38:$P$38,,SelectedPeriodColumn)</f>
        <v>1</v>
      </c>
    </row>
    <row r="39" spans="1:17" ht="19.5" customHeight="1" thickBot="1" x14ac:dyDescent="0.3">
      <c r="B39" s="35"/>
      <c r="C39" s="35"/>
      <c r="D39" s="35"/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</row>
    <row r="40" spans="1:17" ht="19.5" customHeight="1" thickTop="1" x14ac:dyDescent="0.25">
      <c r="A40" s="25"/>
      <c r="B40" s="52" t="s">
        <v>13</v>
      </c>
      <c r="C40" s="52"/>
      <c r="D40" s="53" t="str">
        <f ca="1">FirstMonth</f>
        <v>1 月</v>
      </c>
      <c r="E40" s="53" t="str">
        <f t="shared" ref="E40:O40" si="5">NextMonth</f>
        <v xml:space="preserve">2 月 </v>
      </c>
      <c r="F40" s="53" t="str">
        <f t="shared" si="5"/>
        <v xml:space="preserve">3 月 </v>
      </c>
      <c r="G40" s="53" t="str">
        <f t="shared" si="5"/>
        <v xml:space="preserve">4 月 </v>
      </c>
      <c r="H40" s="53" t="str">
        <f t="shared" si="5"/>
        <v xml:space="preserve">5 月 </v>
      </c>
      <c r="I40" s="53" t="str">
        <f t="shared" si="5"/>
        <v xml:space="preserve">6 月 </v>
      </c>
      <c r="J40" s="53" t="str">
        <f t="shared" si="5"/>
        <v xml:space="preserve">7 月 </v>
      </c>
      <c r="K40" s="53" t="str">
        <f t="shared" si="5"/>
        <v xml:space="preserve">8 月 </v>
      </c>
      <c r="L40" s="53" t="str">
        <f t="shared" si="5"/>
        <v xml:space="preserve">9 月 </v>
      </c>
      <c r="M40" s="53" t="str">
        <f t="shared" si="5"/>
        <v xml:space="preserve">10 月 </v>
      </c>
      <c r="N40" s="53" t="str">
        <f t="shared" si="5"/>
        <v xml:space="preserve">11 月 </v>
      </c>
      <c r="O40" s="53" t="str">
        <f t="shared" si="5"/>
        <v xml:space="preserve">12 月 </v>
      </c>
      <c r="P40" s="54" t="s">
        <v>47</v>
      </c>
      <c r="Q40" s="55" t="s">
        <v>0</v>
      </c>
    </row>
    <row r="41" spans="1:17" ht="19.5" customHeight="1" x14ac:dyDescent="0.25">
      <c r="B41" s="56" t="s">
        <v>14</v>
      </c>
      <c r="C41" s="56"/>
      <c r="D41" s="57">
        <f t="shared" ref="D41:O41" si="6">SUM(D42:D44)</f>
        <v>5650</v>
      </c>
      <c r="E41" s="57">
        <f t="shared" si="6"/>
        <v>5650</v>
      </c>
      <c r="F41" s="57">
        <f t="shared" si="6"/>
        <v>5650</v>
      </c>
      <c r="G41" s="57">
        <f t="shared" si="6"/>
        <v>5650</v>
      </c>
      <c r="H41" s="57">
        <f t="shared" si="6"/>
        <v>5650</v>
      </c>
      <c r="I41" s="57">
        <f t="shared" si="6"/>
        <v>5650</v>
      </c>
      <c r="J41" s="57">
        <f t="shared" si="6"/>
        <v>5650</v>
      </c>
      <c r="K41" s="57">
        <f t="shared" si="6"/>
        <v>5650</v>
      </c>
      <c r="L41" s="57">
        <f t="shared" si="6"/>
        <v>5650</v>
      </c>
      <c r="M41" s="57">
        <f t="shared" si="6"/>
        <v>5650</v>
      </c>
      <c r="N41" s="57">
        <f t="shared" si="6"/>
        <v>5650</v>
      </c>
      <c r="O41" s="57">
        <f t="shared" si="6"/>
        <v>5650</v>
      </c>
      <c r="P41" s="58">
        <f>SUM(D41:O41)</f>
        <v>67800</v>
      </c>
      <c r="Q41" s="59">
        <f ca="1">INDEX($D41:$P41,,SelectedPeriodColumn)/INDEX($D$73:$P$73,,SelectedPeriodColumn)</f>
        <v>0.25302283922973579</v>
      </c>
    </row>
    <row r="42" spans="1:17" ht="19.5" customHeight="1" x14ac:dyDescent="0.25">
      <c r="B42" s="60"/>
      <c r="C42" s="61" t="s">
        <v>15</v>
      </c>
      <c r="D42" s="79">
        <v>3150</v>
      </c>
      <c r="E42" s="79">
        <v>3150</v>
      </c>
      <c r="F42" s="79">
        <v>3150</v>
      </c>
      <c r="G42" s="79">
        <v>3150</v>
      </c>
      <c r="H42" s="79">
        <v>3150</v>
      </c>
      <c r="I42" s="79">
        <v>3150</v>
      </c>
      <c r="J42" s="79">
        <v>3150</v>
      </c>
      <c r="K42" s="79">
        <v>3150</v>
      </c>
      <c r="L42" s="79">
        <v>3150</v>
      </c>
      <c r="M42" s="79">
        <v>3150</v>
      </c>
      <c r="N42" s="79">
        <v>3150</v>
      </c>
      <c r="O42" s="79">
        <v>3150</v>
      </c>
      <c r="P42" s="62">
        <f>SUM(D42:O42)</f>
        <v>37800</v>
      </c>
      <c r="Q42" s="45">
        <f ca="1">INDEX($D42:$P42,,SelectedPeriodColumn)/INDEX($D$73:$P$73,,SelectedPeriodColumn)</f>
        <v>0.14106583072100312</v>
      </c>
    </row>
    <row r="43" spans="1:17" ht="19.5" customHeight="1" x14ac:dyDescent="0.25">
      <c r="B43" s="60"/>
      <c r="C43" s="63" t="s">
        <v>16</v>
      </c>
      <c r="D43" s="80">
        <v>2000</v>
      </c>
      <c r="E43" s="80">
        <v>2000</v>
      </c>
      <c r="F43" s="80">
        <v>2000</v>
      </c>
      <c r="G43" s="80">
        <v>2000</v>
      </c>
      <c r="H43" s="80">
        <v>2000</v>
      </c>
      <c r="I43" s="80">
        <v>2000</v>
      </c>
      <c r="J43" s="80">
        <v>2000</v>
      </c>
      <c r="K43" s="80">
        <v>2000</v>
      </c>
      <c r="L43" s="80">
        <v>2000</v>
      </c>
      <c r="M43" s="80">
        <v>2000</v>
      </c>
      <c r="N43" s="80">
        <v>2000</v>
      </c>
      <c r="O43" s="80">
        <v>2000</v>
      </c>
      <c r="P43" s="62">
        <f>SUM(D43:O43)</f>
        <v>24000</v>
      </c>
      <c r="Q43" s="45">
        <f ca="1">INDEX($D43:$P43,,SelectedPeriodColumn)/INDEX($D$73:$P$73,,SelectedPeriodColumn)</f>
        <v>8.9565606806986123E-2</v>
      </c>
    </row>
    <row r="44" spans="1:17" ht="19.5" customHeight="1" x14ac:dyDescent="0.25">
      <c r="B44" s="60"/>
      <c r="C44" s="64" t="s">
        <v>17</v>
      </c>
      <c r="D44" s="81">
        <v>500</v>
      </c>
      <c r="E44" s="81">
        <v>500</v>
      </c>
      <c r="F44" s="81">
        <v>500</v>
      </c>
      <c r="G44" s="81">
        <v>500</v>
      </c>
      <c r="H44" s="81">
        <v>500</v>
      </c>
      <c r="I44" s="81">
        <v>500</v>
      </c>
      <c r="J44" s="81">
        <v>500</v>
      </c>
      <c r="K44" s="81">
        <v>500</v>
      </c>
      <c r="L44" s="81">
        <v>500</v>
      </c>
      <c r="M44" s="81">
        <v>500</v>
      </c>
      <c r="N44" s="81">
        <v>500</v>
      </c>
      <c r="O44" s="81">
        <v>500</v>
      </c>
      <c r="P44" s="65">
        <f>SUM(D44:O44)</f>
        <v>6000</v>
      </c>
      <c r="Q44" s="48">
        <f ca="1">INDEX($D44:$P44,,SelectedPeriodColumn)/INDEX($D$73:$P$73,,SelectedPeriodColumn)</f>
        <v>2.2391401701746531E-2</v>
      </c>
    </row>
    <row r="45" spans="1:17" ht="19.5" customHeight="1" x14ac:dyDescent="0.25">
      <c r="B45" s="66"/>
      <c r="C45" s="66"/>
      <c r="D45" s="67"/>
      <c r="E45" s="67"/>
      <c r="F45" s="67"/>
      <c r="G45" s="67"/>
      <c r="H45" s="67"/>
      <c r="I45" s="67"/>
      <c r="J45" s="67"/>
      <c r="K45" s="67"/>
      <c r="L45" s="67"/>
      <c r="M45" s="67"/>
      <c r="N45" s="67"/>
      <c r="O45" s="67"/>
      <c r="P45" s="67"/>
      <c r="Q45" s="68"/>
    </row>
    <row r="46" spans="1:17" ht="19.5" customHeight="1" x14ac:dyDescent="0.25">
      <c r="B46" s="56" t="s">
        <v>18</v>
      </c>
      <c r="C46" s="56"/>
      <c r="D46" s="57">
        <f t="shared" ref="D46:O46" si="7">SUM(D47:D48)</f>
        <v>0</v>
      </c>
      <c r="E46" s="57">
        <f t="shared" si="7"/>
        <v>0</v>
      </c>
      <c r="F46" s="57">
        <f t="shared" si="7"/>
        <v>7500</v>
      </c>
      <c r="G46" s="57">
        <f t="shared" si="7"/>
        <v>0</v>
      </c>
      <c r="H46" s="57">
        <f t="shared" si="7"/>
        <v>0</v>
      </c>
      <c r="I46" s="57">
        <f t="shared" si="7"/>
        <v>6500</v>
      </c>
      <c r="J46" s="57">
        <f t="shared" si="7"/>
        <v>0</v>
      </c>
      <c r="K46" s="57">
        <f t="shared" si="7"/>
        <v>0</v>
      </c>
      <c r="L46" s="57">
        <f t="shared" si="7"/>
        <v>6500</v>
      </c>
      <c r="M46" s="57">
        <f t="shared" si="7"/>
        <v>0</v>
      </c>
      <c r="N46" s="57">
        <f t="shared" si="7"/>
        <v>0</v>
      </c>
      <c r="O46" s="57">
        <f t="shared" si="7"/>
        <v>0</v>
      </c>
      <c r="P46" s="58">
        <f>SUM(D46:O46)</f>
        <v>20500</v>
      </c>
      <c r="Q46" s="59">
        <f ca="1">INDEX($D46:$P46,,SelectedPeriodColumn)/INDEX($D$73:$P$73,,SelectedPeriodColumn)</f>
        <v>0.33587102552619796</v>
      </c>
    </row>
    <row r="47" spans="1:17" ht="19.5" customHeight="1" x14ac:dyDescent="0.25">
      <c r="B47" s="60"/>
      <c r="C47" s="69" t="s">
        <v>19</v>
      </c>
      <c r="D47" s="77">
        <v>0</v>
      </c>
      <c r="E47" s="77">
        <v>0</v>
      </c>
      <c r="F47" s="77">
        <v>5000</v>
      </c>
      <c r="G47" s="77">
        <v>0</v>
      </c>
      <c r="H47" s="77">
        <v>0</v>
      </c>
      <c r="I47" s="77">
        <v>5000</v>
      </c>
      <c r="J47" s="77">
        <v>0</v>
      </c>
      <c r="K47" s="77">
        <v>0</v>
      </c>
      <c r="L47" s="77">
        <v>5000</v>
      </c>
      <c r="M47" s="77">
        <v>0</v>
      </c>
      <c r="N47" s="77">
        <v>0</v>
      </c>
      <c r="O47" s="77">
        <v>0</v>
      </c>
      <c r="P47" s="62">
        <f>SUM(D47:O47)</f>
        <v>15000</v>
      </c>
      <c r="Q47" s="45">
        <f ca="1">INDEX($D47:$P47,,SelectedPeriodColumn)/INDEX($D$73:$P$73,,SelectedPeriodColumn)</f>
        <v>0.2239140170174653</v>
      </c>
    </row>
    <row r="48" spans="1:17" ht="19.5" customHeight="1" x14ac:dyDescent="0.25">
      <c r="B48" s="60"/>
      <c r="C48" s="70" t="s">
        <v>20</v>
      </c>
      <c r="D48" s="78">
        <v>0</v>
      </c>
      <c r="E48" s="78">
        <v>0</v>
      </c>
      <c r="F48" s="78">
        <v>2500</v>
      </c>
      <c r="G48" s="78">
        <v>0</v>
      </c>
      <c r="H48" s="78">
        <v>0</v>
      </c>
      <c r="I48" s="78">
        <v>1500</v>
      </c>
      <c r="J48" s="78">
        <v>0</v>
      </c>
      <c r="K48" s="78">
        <v>0</v>
      </c>
      <c r="L48" s="78">
        <v>1500</v>
      </c>
      <c r="M48" s="78">
        <v>0</v>
      </c>
      <c r="N48" s="78">
        <v>0</v>
      </c>
      <c r="O48" s="78">
        <v>0</v>
      </c>
      <c r="P48" s="65">
        <f>SUM(D48:O48)</f>
        <v>5500</v>
      </c>
      <c r="Q48" s="48">
        <f ca="1">INDEX($D48:$P48,,SelectedPeriodColumn)/INDEX($D$73:$P$73,,SelectedPeriodColumn)</f>
        <v>0.11195700850873265</v>
      </c>
    </row>
    <row r="49" spans="2:17" ht="19.5" customHeight="1" x14ac:dyDescent="0.25">
      <c r="B49" s="66"/>
      <c r="C49" s="66"/>
      <c r="D49" s="67"/>
      <c r="E49" s="67"/>
      <c r="F49" s="67"/>
      <c r="G49" s="67"/>
      <c r="H49" s="67"/>
      <c r="I49" s="67"/>
      <c r="J49" s="67"/>
      <c r="K49" s="67"/>
      <c r="L49" s="67"/>
      <c r="M49" s="67"/>
      <c r="N49" s="67"/>
      <c r="O49" s="67"/>
      <c r="P49" s="67"/>
      <c r="Q49" s="68"/>
    </row>
    <row r="50" spans="2:17" ht="19.5" customHeight="1" x14ac:dyDescent="0.25">
      <c r="B50" s="56" t="s">
        <v>21</v>
      </c>
      <c r="C50" s="56"/>
      <c r="D50" s="57">
        <f t="shared" ref="D50:O50" si="8">SUM(D51:D52)</f>
        <v>0</v>
      </c>
      <c r="E50" s="57">
        <f t="shared" si="8"/>
        <v>0</v>
      </c>
      <c r="F50" s="57">
        <f t="shared" si="8"/>
        <v>3250</v>
      </c>
      <c r="G50" s="57">
        <f t="shared" si="8"/>
        <v>200</v>
      </c>
      <c r="H50" s="57">
        <f t="shared" si="8"/>
        <v>200</v>
      </c>
      <c r="I50" s="57">
        <f t="shared" si="8"/>
        <v>3250</v>
      </c>
      <c r="J50" s="57">
        <f t="shared" si="8"/>
        <v>100</v>
      </c>
      <c r="K50" s="57">
        <f t="shared" si="8"/>
        <v>100</v>
      </c>
      <c r="L50" s="57">
        <f t="shared" si="8"/>
        <v>4000</v>
      </c>
      <c r="M50" s="57">
        <f t="shared" si="8"/>
        <v>150</v>
      </c>
      <c r="N50" s="57">
        <f t="shared" si="8"/>
        <v>150</v>
      </c>
      <c r="O50" s="57">
        <f t="shared" si="8"/>
        <v>150</v>
      </c>
      <c r="P50" s="58">
        <f>SUM(D50:O50)</f>
        <v>11550</v>
      </c>
      <c r="Q50" s="59">
        <f ca="1">INDEX($D50:$P50,,SelectedPeriodColumn)/INDEX($D$73:$P$73,,SelectedPeriodColumn)</f>
        <v>0.14554411106135243</v>
      </c>
    </row>
    <row r="51" spans="2:17" ht="19.5" customHeight="1" x14ac:dyDescent="0.25">
      <c r="B51" s="68"/>
      <c r="C51" s="71" t="s">
        <v>22</v>
      </c>
      <c r="D51" s="77">
        <v>0</v>
      </c>
      <c r="E51" s="77">
        <v>0</v>
      </c>
      <c r="F51" s="77">
        <v>2250</v>
      </c>
      <c r="G51" s="77">
        <v>0</v>
      </c>
      <c r="H51" s="77">
        <v>0</v>
      </c>
      <c r="I51" s="77">
        <v>2750</v>
      </c>
      <c r="J51" s="77">
        <v>0</v>
      </c>
      <c r="K51" s="77">
        <v>0</v>
      </c>
      <c r="L51" s="77">
        <v>3250</v>
      </c>
      <c r="M51" s="77">
        <v>0</v>
      </c>
      <c r="N51" s="77">
        <v>0</v>
      </c>
      <c r="O51" s="77">
        <v>0</v>
      </c>
      <c r="P51" s="62">
        <f>SUM(D51:O51)</f>
        <v>8250</v>
      </c>
      <c r="Q51" s="45">
        <f ca="1">INDEX($D51:$P51,,SelectedPeriodColumn)/INDEX($D$73:$P$73,,SelectedPeriodColumn)</f>
        <v>0.10076130765785939</v>
      </c>
    </row>
    <row r="52" spans="2:17" ht="19.5" customHeight="1" x14ac:dyDescent="0.25">
      <c r="B52" s="68"/>
      <c r="C52" s="71" t="s">
        <v>23</v>
      </c>
      <c r="D52" s="78">
        <v>0</v>
      </c>
      <c r="E52" s="78">
        <v>0</v>
      </c>
      <c r="F52" s="78">
        <v>1000</v>
      </c>
      <c r="G52" s="78">
        <v>200</v>
      </c>
      <c r="H52" s="78">
        <v>200</v>
      </c>
      <c r="I52" s="78">
        <v>500</v>
      </c>
      <c r="J52" s="78">
        <v>100</v>
      </c>
      <c r="K52" s="78">
        <v>100</v>
      </c>
      <c r="L52" s="78">
        <v>750</v>
      </c>
      <c r="M52" s="78">
        <v>150</v>
      </c>
      <c r="N52" s="78">
        <v>150</v>
      </c>
      <c r="O52" s="78">
        <v>150</v>
      </c>
      <c r="P52" s="65">
        <f>SUM(D52:O52)</f>
        <v>3300</v>
      </c>
      <c r="Q52" s="48">
        <f ca="1">INDEX($D52:$P52,,SelectedPeriodColumn)/INDEX($D$73:$P$73,,SelectedPeriodColumn)</f>
        <v>4.4782803403493061E-2</v>
      </c>
    </row>
    <row r="53" spans="2:17" ht="19.5" customHeight="1" x14ac:dyDescent="0.25">
      <c r="B53" s="66"/>
      <c r="C53" s="66"/>
      <c r="D53" s="67"/>
      <c r="E53" s="67"/>
      <c r="F53" s="67"/>
      <c r="G53" s="67"/>
      <c r="H53" s="67"/>
      <c r="I53" s="67"/>
      <c r="J53" s="67"/>
      <c r="K53" s="67"/>
      <c r="L53" s="67"/>
      <c r="M53" s="67"/>
      <c r="N53" s="67"/>
      <c r="O53" s="67"/>
      <c r="P53" s="67"/>
      <c r="Q53" s="68"/>
    </row>
    <row r="54" spans="2:17" ht="19.5" customHeight="1" x14ac:dyDescent="0.25">
      <c r="B54" s="56" t="s">
        <v>24</v>
      </c>
      <c r="C54" s="56"/>
      <c r="D54" s="57">
        <f t="shared" ref="D54:O54" si="9">SUM(D55:D58)</f>
        <v>2240</v>
      </c>
      <c r="E54" s="57">
        <f t="shared" si="9"/>
        <v>1740</v>
      </c>
      <c r="F54" s="57">
        <f t="shared" si="9"/>
        <v>1740</v>
      </c>
      <c r="G54" s="57">
        <f t="shared" si="9"/>
        <v>2190</v>
      </c>
      <c r="H54" s="57">
        <f t="shared" si="9"/>
        <v>1740</v>
      </c>
      <c r="I54" s="57">
        <f t="shared" si="9"/>
        <v>1740</v>
      </c>
      <c r="J54" s="57">
        <f t="shared" si="9"/>
        <v>2740</v>
      </c>
      <c r="K54" s="57">
        <f t="shared" si="9"/>
        <v>2190</v>
      </c>
      <c r="L54" s="57">
        <f t="shared" si="9"/>
        <v>1740</v>
      </c>
      <c r="M54" s="57">
        <f t="shared" si="9"/>
        <v>1740</v>
      </c>
      <c r="N54" s="57">
        <f t="shared" si="9"/>
        <v>2240</v>
      </c>
      <c r="O54" s="57">
        <f t="shared" si="9"/>
        <v>2690</v>
      </c>
      <c r="P54" s="58">
        <f>SUM(D54:O54)</f>
        <v>24730</v>
      </c>
      <c r="Q54" s="59">
        <f ca="1">INDEX($D54:$P54,,SelectedPeriodColumn)/INDEX($D$73:$P$73,,SelectedPeriodColumn)</f>
        <v>7.792207792207792E-2</v>
      </c>
    </row>
    <row r="55" spans="2:17" ht="19.5" customHeight="1" x14ac:dyDescent="0.25">
      <c r="B55" s="60"/>
      <c r="C55" s="69" t="s">
        <v>25</v>
      </c>
      <c r="D55" s="77">
        <v>300</v>
      </c>
      <c r="E55" s="77">
        <v>300</v>
      </c>
      <c r="F55" s="77">
        <v>300</v>
      </c>
      <c r="G55" s="77">
        <v>750</v>
      </c>
      <c r="H55" s="77">
        <v>300</v>
      </c>
      <c r="I55" s="77">
        <v>300</v>
      </c>
      <c r="J55" s="77">
        <v>300</v>
      </c>
      <c r="K55" s="77">
        <v>750</v>
      </c>
      <c r="L55" s="77">
        <v>300</v>
      </c>
      <c r="M55" s="77">
        <v>300</v>
      </c>
      <c r="N55" s="77">
        <v>300</v>
      </c>
      <c r="O55" s="77">
        <v>750</v>
      </c>
      <c r="P55" s="62">
        <f>SUM(D55:O55)</f>
        <v>4950</v>
      </c>
      <c r="Q55" s="45">
        <f ca="1">INDEX($D55:$P55,,SelectedPeriodColumn)/INDEX($D$73:$P$73,,SelectedPeriodColumn)</f>
        <v>1.3434841021047918E-2</v>
      </c>
    </row>
    <row r="56" spans="2:17" ht="19.5" customHeight="1" x14ac:dyDescent="0.25">
      <c r="B56" s="60"/>
      <c r="C56" s="69" t="s">
        <v>26</v>
      </c>
      <c r="D56" s="77">
        <v>1290</v>
      </c>
      <c r="E56" s="77">
        <v>1290</v>
      </c>
      <c r="F56" s="77">
        <v>1290</v>
      </c>
      <c r="G56" s="77">
        <v>1290</v>
      </c>
      <c r="H56" s="77">
        <v>1290</v>
      </c>
      <c r="I56" s="77">
        <v>1290</v>
      </c>
      <c r="J56" s="77">
        <v>1290</v>
      </c>
      <c r="K56" s="77">
        <v>1290</v>
      </c>
      <c r="L56" s="77">
        <v>1290</v>
      </c>
      <c r="M56" s="77">
        <v>1290</v>
      </c>
      <c r="N56" s="77">
        <v>1290</v>
      </c>
      <c r="O56" s="77">
        <v>1290</v>
      </c>
      <c r="P56" s="62">
        <f>SUM(D56:O56)</f>
        <v>15480</v>
      </c>
      <c r="Q56" s="45">
        <f ca="1">INDEX($D56:$P56,,SelectedPeriodColumn)/INDEX($D$73:$P$73,,SelectedPeriodColumn)</f>
        <v>5.7769816390506046E-2</v>
      </c>
    </row>
    <row r="57" spans="2:17" ht="19.5" customHeight="1" x14ac:dyDescent="0.25">
      <c r="B57" s="60"/>
      <c r="C57" s="69" t="s">
        <v>27</v>
      </c>
      <c r="D57" s="77">
        <v>150</v>
      </c>
      <c r="E57" s="77">
        <v>150</v>
      </c>
      <c r="F57" s="77">
        <v>150</v>
      </c>
      <c r="G57" s="77">
        <v>150</v>
      </c>
      <c r="H57" s="77">
        <v>150</v>
      </c>
      <c r="I57" s="77">
        <v>150</v>
      </c>
      <c r="J57" s="77">
        <v>150</v>
      </c>
      <c r="K57" s="77">
        <v>150</v>
      </c>
      <c r="L57" s="77">
        <v>150</v>
      </c>
      <c r="M57" s="77">
        <v>150</v>
      </c>
      <c r="N57" s="77">
        <v>150</v>
      </c>
      <c r="O57" s="77">
        <v>150</v>
      </c>
      <c r="P57" s="62">
        <f>SUM(D57:O57)</f>
        <v>1800</v>
      </c>
      <c r="Q57" s="45">
        <f ca="1">INDEX($D57:$P57,,SelectedPeriodColumn)/INDEX($D$73:$P$73,,SelectedPeriodColumn)</f>
        <v>6.717420510523959E-3</v>
      </c>
    </row>
    <row r="58" spans="2:17" ht="19.5" customHeight="1" x14ac:dyDescent="0.25">
      <c r="B58" s="60"/>
      <c r="C58" s="70" t="s">
        <v>28</v>
      </c>
      <c r="D58" s="78">
        <v>500</v>
      </c>
      <c r="E58" s="78">
        <v>0</v>
      </c>
      <c r="F58" s="78">
        <v>0</v>
      </c>
      <c r="G58" s="78">
        <v>0</v>
      </c>
      <c r="H58" s="78">
        <v>0</v>
      </c>
      <c r="I58" s="78">
        <v>0</v>
      </c>
      <c r="J58" s="78">
        <v>1000</v>
      </c>
      <c r="K58" s="78">
        <v>0</v>
      </c>
      <c r="L58" s="78">
        <v>0</v>
      </c>
      <c r="M58" s="78">
        <v>0</v>
      </c>
      <c r="N58" s="78">
        <v>500</v>
      </c>
      <c r="O58" s="78">
        <v>500</v>
      </c>
      <c r="P58" s="65">
        <f>SUM(D58:O58)</f>
        <v>2500</v>
      </c>
      <c r="Q58" s="48">
        <f ca="1">INDEX($D58:$P58,,SelectedPeriodColumn)/INDEX($D$73:$P$73,,SelectedPeriodColumn)</f>
        <v>0</v>
      </c>
    </row>
    <row r="59" spans="2:17" ht="19.5" customHeight="1" x14ac:dyDescent="0.25">
      <c r="B59" s="68"/>
      <c r="C59" s="68"/>
      <c r="D59" s="68"/>
      <c r="E59" s="68"/>
      <c r="F59" s="68"/>
      <c r="G59" s="68"/>
      <c r="H59" s="68"/>
      <c r="I59" s="68"/>
      <c r="J59" s="68"/>
      <c r="K59" s="68"/>
      <c r="L59" s="68"/>
      <c r="M59" s="68"/>
      <c r="N59" s="68"/>
      <c r="O59" s="68"/>
      <c r="P59" s="68"/>
      <c r="Q59" s="68"/>
    </row>
    <row r="60" spans="2:17" ht="19.5" customHeight="1" x14ac:dyDescent="0.25">
      <c r="B60" s="56" t="s">
        <v>29</v>
      </c>
      <c r="C60" s="56"/>
      <c r="D60" s="57">
        <f t="shared" ref="D60:O60" si="10">SUM(D61:D66)</f>
        <v>690</v>
      </c>
      <c r="E60" s="57">
        <f t="shared" si="10"/>
        <v>690</v>
      </c>
      <c r="F60" s="57">
        <f t="shared" si="10"/>
        <v>1690</v>
      </c>
      <c r="G60" s="57">
        <f t="shared" si="10"/>
        <v>3690</v>
      </c>
      <c r="H60" s="57">
        <f t="shared" si="10"/>
        <v>4190</v>
      </c>
      <c r="I60" s="57">
        <f t="shared" si="10"/>
        <v>4440</v>
      </c>
      <c r="J60" s="57">
        <f t="shared" si="10"/>
        <v>4190</v>
      </c>
      <c r="K60" s="57">
        <f t="shared" si="10"/>
        <v>4190</v>
      </c>
      <c r="L60" s="57">
        <f t="shared" si="10"/>
        <v>3940</v>
      </c>
      <c r="M60" s="57">
        <f t="shared" si="10"/>
        <v>3940</v>
      </c>
      <c r="N60" s="57">
        <f t="shared" si="10"/>
        <v>4190</v>
      </c>
      <c r="O60" s="57">
        <f t="shared" si="10"/>
        <v>4690</v>
      </c>
      <c r="P60" s="58">
        <f t="shared" ref="P60:P66" si="11">SUM(D60:O60)</f>
        <v>40530</v>
      </c>
      <c r="Q60" s="59">
        <f ca="1">INDEX($D60:$P60,,SelectedPeriodColumn)/INDEX($D$73:$P$73,,SelectedPeriodColumn)</f>
        <v>7.5682937751903268E-2</v>
      </c>
    </row>
    <row r="61" spans="2:17" ht="19.5" customHeight="1" x14ac:dyDescent="0.25">
      <c r="B61" s="60"/>
      <c r="C61" s="69" t="s">
        <v>30</v>
      </c>
      <c r="D61" s="77">
        <v>0</v>
      </c>
      <c r="E61" s="77">
        <v>0</v>
      </c>
      <c r="F61" s="77">
        <v>0</v>
      </c>
      <c r="G61" s="77">
        <v>500</v>
      </c>
      <c r="H61" s="77">
        <v>1000</v>
      </c>
      <c r="I61" s="77">
        <v>1000</v>
      </c>
      <c r="J61" s="77">
        <v>1000</v>
      </c>
      <c r="K61" s="77">
        <v>1000</v>
      </c>
      <c r="L61" s="77">
        <v>750</v>
      </c>
      <c r="M61" s="77">
        <v>750</v>
      </c>
      <c r="N61" s="77">
        <v>1000</v>
      </c>
      <c r="O61" s="77">
        <v>1000</v>
      </c>
      <c r="P61" s="62">
        <f t="shared" si="11"/>
        <v>8000</v>
      </c>
      <c r="Q61" s="45">
        <f ca="1">INDEX($D61:$P61,,SelectedPeriodColumn)/INDEX($D$73:$P$73,,SelectedPeriodColumn)</f>
        <v>0</v>
      </c>
    </row>
    <row r="62" spans="2:17" ht="19.5" customHeight="1" x14ac:dyDescent="0.25">
      <c r="B62" s="60"/>
      <c r="C62" s="69" t="s">
        <v>31</v>
      </c>
      <c r="D62" s="77">
        <v>690</v>
      </c>
      <c r="E62" s="77">
        <v>690</v>
      </c>
      <c r="F62" s="77">
        <v>690</v>
      </c>
      <c r="G62" s="77">
        <v>690</v>
      </c>
      <c r="H62" s="77">
        <v>690</v>
      </c>
      <c r="I62" s="77">
        <v>690</v>
      </c>
      <c r="J62" s="77">
        <v>690</v>
      </c>
      <c r="K62" s="77">
        <v>690</v>
      </c>
      <c r="L62" s="77">
        <v>690</v>
      </c>
      <c r="M62" s="77">
        <v>690</v>
      </c>
      <c r="N62" s="77">
        <v>690</v>
      </c>
      <c r="O62" s="77">
        <v>690</v>
      </c>
      <c r="P62" s="62">
        <f t="shared" si="11"/>
        <v>8280</v>
      </c>
      <c r="Q62" s="45">
        <f ca="1">INDEX($D62:$P62,,SelectedPeriodColumn)/INDEX($D$73:$P$73,,SelectedPeriodColumn)</f>
        <v>3.090013434841021E-2</v>
      </c>
    </row>
    <row r="63" spans="2:17" ht="19.5" customHeight="1" x14ac:dyDescent="0.25">
      <c r="B63" s="60"/>
      <c r="C63" s="69" t="s">
        <v>32</v>
      </c>
      <c r="D63" s="77">
        <v>0</v>
      </c>
      <c r="E63" s="77">
        <v>0</v>
      </c>
      <c r="F63" s="77">
        <v>0</v>
      </c>
      <c r="G63" s="77">
        <v>0</v>
      </c>
      <c r="H63" s="77">
        <v>0</v>
      </c>
      <c r="I63" s="77">
        <v>250</v>
      </c>
      <c r="J63" s="77">
        <v>0</v>
      </c>
      <c r="K63" s="77">
        <v>0</v>
      </c>
      <c r="L63" s="77">
        <v>0</v>
      </c>
      <c r="M63" s="77">
        <v>0</v>
      </c>
      <c r="N63" s="77">
        <v>0</v>
      </c>
      <c r="O63" s="77">
        <v>500</v>
      </c>
      <c r="P63" s="62">
        <f t="shared" si="11"/>
        <v>750</v>
      </c>
      <c r="Q63" s="45">
        <f ca="1">INDEX($D63:$P63,,SelectedPeriodColumn)/INDEX($D$73:$P$73,,SelectedPeriodColumn)</f>
        <v>0</v>
      </c>
    </row>
    <row r="64" spans="2:17" ht="19.5" customHeight="1" x14ac:dyDescent="0.25">
      <c r="B64" s="60"/>
      <c r="C64" s="69" t="s">
        <v>33</v>
      </c>
      <c r="D64" s="77">
        <v>0</v>
      </c>
      <c r="E64" s="77">
        <v>0</v>
      </c>
      <c r="F64" s="77">
        <v>1000</v>
      </c>
      <c r="G64" s="77">
        <v>1000</v>
      </c>
      <c r="H64" s="77">
        <v>1000</v>
      </c>
      <c r="I64" s="77">
        <v>1000</v>
      </c>
      <c r="J64" s="77">
        <v>1000</v>
      </c>
      <c r="K64" s="77">
        <v>1000</v>
      </c>
      <c r="L64" s="77">
        <v>1000</v>
      </c>
      <c r="M64" s="77">
        <v>1000</v>
      </c>
      <c r="N64" s="77">
        <v>1000</v>
      </c>
      <c r="O64" s="77">
        <v>1000</v>
      </c>
      <c r="P64" s="62">
        <f t="shared" si="11"/>
        <v>10000</v>
      </c>
      <c r="Q64" s="45">
        <f ca="1">INDEX($D64:$P64,,SelectedPeriodColumn)/INDEX($D$73:$P$73,,SelectedPeriodColumn)</f>
        <v>4.4782803403493061E-2</v>
      </c>
    </row>
    <row r="65" spans="2:17" ht="19.5" customHeight="1" x14ac:dyDescent="0.25">
      <c r="B65" s="60"/>
      <c r="C65" s="69" t="s">
        <v>34</v>
      </c>
      <c r="D65" s="77">
        <v>0</v>
      </c>
      <c r="E65" s="77">
        <v>0</v>
      </c>
      <c r="F65" s="77">
        <v>0</v>
      </c>
      <c r="G65" s="77">
        <v>500</v>
      </c>
      <c r="H65" s="77">
        <v>500</v>
      </c>
      <c r="I65" s="77">
        <v>500</v>
      </c>
      <c r="J65" s="77">
        <v>500</v>
      </c>
      <c r="K65" s="77">
        <v>500</v>
      </c>
      <c r="L65" s="77">
        <v>500</v>
      </c>
      <c r="M65" s="77">
        <v>500</v>
      </c>
      <c r="N65" s="77">
        <v>500</v>
      </c>
      <c r="O65" s="77">
        <v>500</v>
      </c>
      <c r="P65" s="62">
        <f t="shared" si="11"/>
        <v>4500</v>
      </c>
      <c r="Q65" s="45">
        <f ca="1">INDEX($D65:$P65,,SelectedPeriodColumn)/INDEX($D$73:$P$73,,SelectedPeriodColumn)</f>
        <v>0</v>
      </c>
    </row>
    <row r="66" spans="2:17" ht="19.5" customHeight="1" x14ac:dyDescent="0.25">
      <c r="B66" s="60"/>
      <c r="C66" s="70" t="s">
        <v>35</v>
      </c>
      <c r="D66" s="78">
        <v>0</v>
      </c>
      <c r="E66" s="78">
        <v>0</v>
      </c>
      <c r="F66" s="78">
        <v>0</v>
      </c>
      <c r="G66" s="78">
        <v>1000</v>
      </c>
      <c r="H66" s="78">
        <v>1000</v>
      </c>
      <c r="I66" s="78">
        <v>1000</v>
      </c>
      <c r="J66" s="78">
        <v>1000</v>
      </c>
      <c r="K66" s="78">
        <v>1000</v>
      </c>
      <c r="L66" s="78">
        <v>1000</v>
      </c>
      <c r="M66" s="78">
        <v>1000</v>
      </c>
      <c r="N66" s="78">
        <v>1000</v>
      </c>
      <c r="O66" s="78">
        <v>1000</v>
      </c>
      <c r="P66" s="65">
        <f t="shared" si="11"/>
        <v>9000</v>
      </c>
      <c r="Q66" s="48">
        <f ca="1">INDEX($D66:$P66,,SelectedPeriodColumn)/INDEX($D$73:$P$73,,SelectedPeriodColumn)</f>
        <v>0</v>
      </c>
    </row>
    <row r="67" spans="2:17" ht="19.5" customHeight="1" x14ac:dyDescent="0.25">
      <c r="B67" s="66"/>
      <c r="C67" s="66"/>
      <c r="D67" s="68"/>
      <c r="E67" s="68"/>
      <c r="F67" s="68"/>
      <c r="G67" s="68"/>
      <c r="H67" s="68"/>
      <c r="I67" s="68"/>
      <c r="J67" s="68"/>
      <c r="K67" s="68"/>
      <c r="L67" s="68"/>
      <c r="M67" s="68"/>
      <c r="N67" s="68"/>
      <c r="O67" s="68"/>
      <c r="P67" s="68"/>
      <c r="Q67" s="68"/>
    </row>
    <row r="68" spans="2:17" ht="19.5" customHeight="1" x14ac:dyDescent="0.25">
      <c r="B68" s="56" t="s">
        <v>36</v>
      </c>
      <c r="C68" s="56"/>
      <c r="D68" s="57">
        <f>SUM(D69:D71)</f>
        <v>1980</v>
      </c>
      <c r="E68" s="57">
        <f t="shared" ref="E68:O68" si="12">SUM(E69:E71)</f>
        <v>1980</v>
      </c>
      <c r="F68" s="57">
        <f t="shared" si="12"/>
        <v>2500</v>
      </c>
      <c r="G68" s="57">
        <f t="shared" si="12"/>
        <v>2530</v>
      </c>
      <c r="H68" s="57">
        <f t="shared" si="12"/>
        <v>2430</v>
      </c>
      <c r="I68" s="57">
        <f t="shared" si="12"/>
        <v>2380</v>
      </c>
      <c r="J68" s="57">
        <f t="shared" si="12"/>
        <v>2330</v>
      </c>
      <c r="K68" s="57">
        <f t="shared" si="12"/>
        <v>2580</v>
      </c>
      <c r="L68" s="57">
        <f t="shared" si="12"/>
        <v>2630</v>
      </c>
      <c r="M68" s="57">
        <f t="shared" si="12"/>
        <v>2680</v>
      </c>
      <c r="N68" s="57">
        <f t="shared" si="12"/>
        <v>2680</v>
      </c>
      <c r="O68" s="57">
        <f t="shared" si="12"/>
        <v>2680</v>
      </c>
      <c r="P68" s="58">
        <f>SUM(D68:O68)</f>
        <v>29380</v>
      </c>
      <c r="Q68" s="59">
        <f ca="1">INDEX($D68:$P68,,SelectedPeriodColumn)/INDEX($D$73:$P$73,,SelectedPeriodColumn)</f>
        <v>0.11195700850873265</v>
      </c>
    </row>
    <row r="69" spans="2:17" ht="19.5" customHeight="1" x14ac:dyDescent="0.25">
      <c r="B69" s="60"/>
      <c r="C69" s="69" t="s">
        <v>37</v>
      </c>
      <c r="D69" s="77">
        <v>1230</v>
      </c>
      <c r="E69" s="77">
        <v>1230</v>
      </c>
      <c r="F69" s="77">
        <v>1230</v>
      </c>
      <c r="G69" s="77">
        <v>1230</v>
      </c>
      <c r="H69" s="77">
        <v>1230</v>
      </c>
      <c r="I69" s="77">
        <v>1230</v>
      </c>
      <c r="J69" s="77">
        <v>1230</v>
      </c>
      <c r="K69" s="77">
        <v>1230</v>
      </c>
      <c r="L69" s="77">
        <v>1230</v>
      </c>
      <c r="M69" s="77">
        <v>1230</v>
      </c>
      <c r="N69" s="77">
        <v>1230</v>
      </c>
      <c r="O69" s="77">
        <v>1230</v>
      </c>
      <c r="P69" s="62">
        <f>SUM(D69:O69)</f>
        <v>14760</v>
      </c>
      <c r="Q69" s="45">
        <f ca="1">INDEX($D69:$P69,,SelectedPeriodColumn)/INDEX($D$73:$P$73,,SelectedPeriodColumn)</f>
        <v>5.5082848186296461E-2</v>
      </c>
    </row>
    <row r="70" spans="2:17" ht="19.5" customHeight="1" x14ac:dyDescent="0.25">
      <c r="B70" s="60"/>
      <c r="C70" s="69" t="s">
        <v>38</v>
      </c>
      <c r="D70" s="77">
        <v>0</v>
      </c>
      <c r="E70" s="77">
        <v>0</v>
      </c>
      <c r="F70" s="77">
        <v>520</v>
      </c>
      <c r="G70" s="77">
        <v>550</v>
      </c>
      <c r="H70" s="77">
        <v>450</v>
      </c>
      <c r="I70" s="77">
        <v>400</v>
      </c>
      <c r="J70" s="77">
        <v>350</v>
      </c>
      <c r="K70" s="77">
        <v>600</v>
      </c>
      <c r="L70" s="77">
        <v>650</v>
      </c>
      <c r="M70" s="77">
        <v>700</v>
      </c>
      <c r="N70" s="77">
        <v>700</v>
      </c>
      <c r="O70" s="77">
        <v>700</v>
      </c>
      <c r="P70" s="62">
        <f>SUM(D70:O70)</f>
        <v>5620</v>
      </c>
      <c r="Q70" s="45">
        <f ca="1">INDEX($D70:$P70,,SelectedPeriodColumn)/INDEX($D$73:$P$73,,SelectedPeriodColumn)</f>
        <v>2.3287057769816391E-2</v>
      </c>
    </row>
    <row r="71" spans="2:17" ht="19.5" customHeight="1" x14ac:dyDescent="0.25">
      <c r="B71" s="60"/>
      <c r="C71" s="70" t="s">
        <v>39</v>
      </c>
      <c r="D71" s="78">
        <v>750</v>
      </c>
      <c r="E71" s="78">
        <v>750</v>
      </c>
      <c r="F71" s="78">
        <v>750</v>
      </c>
      <c r="G71" s="78">
        <v>750</v>
      </c>
      <c r="H71" s="78">
        <v>750</v>
      </c>
      <c r="I71" s="78">
        <v>750</v>
      </c>
      <c r="J71" s="78">
        <v>750</v>
      </c>
      <c r="K71" s="78">
        <v>750</v>
      </c>
      <c r="L71" s="78">
        <v>750</v>
      </c>
      <c r="M71" s="78">
        <v>750</v>
      </c>
      <c r="N71" s="78">
        <v>750</v>
      </c>
      <c r="O71" s="78">
        <v>750</v>
      </c>
      <c r="P71" s="65">
        <f>SUM(D71:O71)</f>
        <v>9000</v>
      </c>
      <c r="Q71" s="48">
        <f ca="1">INDEX($D71:$P71,,SelectedPeriodColumn)/INDEX($D$73:$P$73,,SelectedPeriodColumn)</f>
        <v>3.3587102552619791E-2</v>
      </c>
    </row>
    <row r="72" spans="2:17" ht="19.5" customHeight="1" x14ac:dyDescent="0.25">
      <c r="B72" s="68"/>
      <c r="C72" s="68"/>
      <c r="D72" s="68"/>
      <c r="E72" s="68"/>
      <c r="F72" s="68"/>
      <c r="G72" s="68"/>
      <c r="H72" s="68"/>
      <c r="I72" s="68"/>
      <c r="J72" s="68"/>
      <c r="K72" s="68"/>
      <c r="L72" s="68"/>
      <c r="M72" s="68"/>
      <c r="N72" s="68"/>
      <c r="O72" s="68"/>
      <c r="P72" s="68"/>
      <c r="Q72" s="68"/>
    </row>
    <row r="73" spans="2:17" ht="19.5" customHeight="1" x14ac:dyDescent="0.25">
      <c r="B73" s="49" t="s">
        <v>40</v>
      </c>
      <c r="C73" s="49"/>
      <c r="D73" s="50">
        <f t="shared" ref="D73:O73" si="13">SUM(D41,D46,D50,D54,D60,D68)</f>
        <v>10560</v>
      </c>
      <c r="E73" s="50">
        <f t="shared" si="13"/>
        <v>10060</v>
      </c>
      <c r="F73" s="50">
        <f t="shared" si="13"/>
        <v>22330</v>
      </c>
      <c r="G73" s="50">
        <f t="shared" si="13"/>
        <v>14260</v>
      </c>
      <c r="H73" s="50">
        <f t="shared" si="13"/>
        <v>14210</v>
      </c>
      <c r="I73" s="50">
        <f t="shared" si="13"/>
        <v>23960</v>
      </c>
      <c r="J73" s="50">
        <f t="shared" si="13"/>
        <v>15010</v>
      </c>
      <c r="K73" s="50">
        <f t="shared" si="13"/>
        <v>14710</v>
      </c>
      <c r="L73" s="50">
        <f t="shared" si="13"/>
        <v>24460</v>
      </c>
      <c r="M73" s="50">
        <f t="shared" si="13"/>
        <v>14160</v>
      </c>
      <c r="N73" s="50">
        <f t="shared" si="13"/>
        <v>14910</v>
      </c>
      <c r="O73" s="50">
        <f t="shared" si="13"/>
        <v>15860</v>
      </c>
      <c r="P73" s="50">
        <f>SUM(D73:O73)</f>
        <v>194490</v>
      </c>
      <c r="Q73" s="51">
        <f ca="1">INDEX($D73:$P73,,SelectedPeriodColumn)/INDEX($D$73:$P$73,,SelectedPeriodColumn)</f>
        <v>1</v>
      </c>
    </row>
  </sheetData>
  <sheetProtection insertColumns="0" insertRows="0" deleteColumns="0" deleteRows="0" autoFilter="0"/>
  <phoneticPr fontId="5" type="noConversion"/>
  <conditionalFormatting sqref="D29:Q30">
    <cfRule type="expression" dxfId="0" priority="1">
      <formula>D29&lt;0</formula>
    </cfRule>
  </conditionalFormatting>
  <dataValidations disablePrompts="1" count="1">
    <dataValidation type="list" allowBlank="1" showInputMessage="1" showErrorMessage="1" errorTitle="Whoops!" error="This cell needs to be a month of the year. If you're not sure what to enter, click Cancel and use the drop down list to make a selection." sqref="B26">
      <formula1>"1月,2月,3月,4月,5月,6月,7月,8月,9月,10月,11月,12月"</formula1>
    </dataValidation>
  </dataValidations>
  <printOptions horizontalCentered="1"/>
  <pageMargins left="0.25" right="0.25" top="0.75" bottom="0.75" header="0.3" footer="0.3"/>
  <pageSetup scale="5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月滚动">
              <controlPr defaultSize="0" print="0" autoPict="0" altText="单击可按月份循环浏览预算摘要。">
                <anchor moveWithCells="1" sizeWithCells="1">
                  <from>
                    <xdr:col>2</xdr:col>
                    <xdr:colOff>1238250</xdr:colOff>
                    <xdr:row>21</xdr:row>
                    <xdr:rowOff>95250</xdr:rowOff>
                  </from>
                  <to>
                    <xdr:col>16</xdr:col>
                    <xdr:colOff>609600</xdr:colOff>
                    <xdr:row>22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>
          <x14:colorSeries theme="6"/>
          <x14:colorNegative theme="6"/>
          <x14:colorAxis rgb="FF000000"/>
          <x14:colorMarkers theme="5" tint="-0.249977111117893"/>
          <x14:colorFirst theme="5" tint="-0.249977111117893"/>
          <x14:colorLast theme="5" tint="-0.249977111117893"/>
          <x14:colorHigh theme="5" tint="-0.249977111117893"/>
          <x14:colorLow theme="5" tint="-0.249977111117893"/>
          <x14:sparklines>
            <x14:sparkline>
              <xm:f>每月大学预算!D73:O73</xm:f>
              <xm:sqref>A73</xm:sqref>
            </x14:sparkline>
            <x14:sparkline>
              <xm:f>每月大学预算!D41:O41</xm:f>
              <xm:sqref>A41</xm:sqref>
            </x14:sparkline>
            <x14:sparkline>
              <xm:f>每月大学预算!D30:O30</xm:f>
              <xm:sqref>A30</xm:sqref>
            </x14:sparkline>
            <x14:sparkline>
              <xm:f>每月大学预算!D60:O60</xm:f>
              <xm:sqref>A60</xm:sqref>
            </x14:sparkline>
            <x14:sparkline>
              <xm:f>每月大学预算!D54:O54</xm:f>
              <xm:sqref>A54</xm:sqref>
            </x14:sparkline>
            <x14:sparkline>
              <xm:f>每月大学预算!D29:O29</xm:f>
              <xm:sqref>A29</xm:sqref>
            </x14:sparkline>
            <x14:sparkline>
              <xm:f>每月大学预算!D50:O50</xm:f>
              <xm:sqref>A50</xm:sqref>
            </x14:sparkline>
            <x14:sparkline>
              <xm:f>每月大学预算!D46:O46</xm:f>
              <xm:sqref>A46</xm:sqref>
            </x14:sparkline>
            <x14:sparkline>
              <xm:f>每月大学预算!D38:O38</xm:f>
              <xm:sqref>A38</xm:sqref>
            </x14:sparkline>
            <x14:sparkline>
              <xm:f>每月大学预算!D68:O68</xm:f>
              <xm:sqref>A68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40"/>
  <sheetViews>
    <sheetView showGridLines="0" zoomScaleNormal="100" workbookViewId="0">
      <selection activeCell="E28" sqref="E28"/>
    </sheetView>
  </sheetViews>
  <sheetFormatPr defaultRowHeight="15" x14ac:dyDescent="0.3"/>
  <cols>
    <col min="1" max="2" width="9.140625" style="2"/>
    <col min="3" max="3" width="46.42578125" style="2" customWidth="1"/>
    <col min="4" max="4" width="9.140625" style="2"/>
    <col min="5" max="5" width="10.7109375" style="2" bestFit="1" customWidth="1"/>
    <col min="6" max="19" width="9.140625" style="2"/>
    <col min="20" max="20" width="14.85546875" style="2" bestFit="1" customWidth="1"/>
    <col min="21" max="16384" width="9.140625" style="2"/>
  </cols>
  <sheetData>
    <row r="1" spans="1:20" x14ac:dyDescent="0.3">
      <c r="A1" s="2" t="s">
        <v>41</v>
      </c>
    </row>
    <row r="3" spans="1:20" x14ac:dyDescent="0.3">
      <c r="D3" s="2" t="str">
        <f>IFERROR(LOWER(TEXT(VALUE(SelectedPeriod&amp;"1"),"[$-C04]mmmm")),"年")</f>
        <v>年</v>
      </c>
    </row>
    <row r="5" spans="1:20" x14ac:dyDescent="0.3">
      <c r="D5" s="6" t="s">
        <v>42</v>
      </c>
      <c r="E5" s="1"/>
      <c r="F5" s="1"/>
    </row>
    <row r="6" spans="1:20" x14ac:dyDescent="0.3">
      <c r="D6" s="2" t="str">
        <f>D3&amp;"收入:"</f>
        <v>年收入:</v>
      </c>
      <c r="F6" s="2" t="str">
        <f ca="1">TEXT(INDEX(每月大学预算!$D$38:$P$38,,SelectedPeriodColumn),"¥#,###")</f>
        <v>¥24,250</v>
      </c>
    </row>
    <row r="7" spans="1:20" x14ac:dyDescent="0.3">
      <c r="D7" s="2" t="str">
        <f>D3&amp;"支出:"</f>
        <v>年支出:</v>
      </c>
      <c r="F7" s="2" t="str">
        <f ca="1">TEXT(INDEX(每月大学预算!$D$73:$P$73,,SelectedPeriodColumn),"¥#,###")</f>
        <v>¥22,330</v>
      </c>
      <c r="T7" s="75">
        <v>41244</v>
      </c>
    </row>
    <row r="8" spans="1:20" x14ac:dyDescent="0.3">
      <c r="D8" s="2" t="str">
        <f>D3&amp;"现金流:"</f>
        <v>年现金流:</v>
      </c>
      <c r="E8" s="4">
        <f>INDEX(每月大学预算!D29:P29,ScrollBarValue)</f>
        <v>1920</v>
      </c>
      <c r="F8" s="2" t="str">
        <f>TEXT(E8,"¥#,###")</f>
        <v>¥1,920</v>
      </c>
    </row>
    <row r="12" spans="1:20" x14ac:dyDescent="0.3">
      <c r="D12" s="4" t="str">
        <f ca="1">LOWER(每月大学预算!D28)</f>
        <v>1 月</v>
      </c>
      <c r="E12" s="4" t="str">
        <f>LOWER(每月大学预算!E28)</f>
        <v xml:space="preserve">2 月 </v>
      </c>
      <c r="F12" s="4" t="str">
        <f>LOWER(每月大学预算!F28)</f>
        <v xml:space="preserve">3 月 </v>
      </c>
      <c r="G12" s="4" t="str">
        <f>LOWER(每月大学预算!G28)</f>
        <v xml:space="preserve">4 月 </v>
      </c>
      <c r="H12" s="4" t="str">
        <f>LOWER(每月大学预算!H28)</f>
        <v xml:space="preserve">5 月 </v>
      </c>
      <c r="I12" s="4" t="str">
        <f>LOWER(每月大学预算!I28)</f>
        <v xml:space="preserve">6 月 </v>
      </c>
      <c r="J12" s="4" t="str">
        <f>LOWER(每月大学预算!J28)</f>
        <v xml:space="preserve">7 月 </v>
      </c>
      <c r="K12" s="4" t="str">
        <f>LOWER(每月大学预算!K28)</f>
        <v xml:space="preserve">8 月 </v>
      </c>
      <c r="L12" s="4" t="str">
        <f>LOWER(每月大学预算!L28)</f>
        <v xml:space="preserve">9 月 </v>
      </c>
      <c r="M12" s="4" t="str">
        <f>LOWER(每月大学预算!M28)</f>
        <v xml:space="preserve">10 月 </v>
      </c>
      <c r="N12" s="4" t="str">
        <f>LOWER(每月大学预算!N28)</f>
        <v xml:space="preserve">11 月 </v>
      </c>
      <c r="O12" s="4" t="str">
        <f>LOWER(每月大学预算!O28)</f>
        <v xml:space="preserve">12 月 </v>
      </c>
      <c r="P12" s="4" t="str">
        <f>LOWER(每月大学预算!P28)</f>
        <v>年</v>
      </c>
    </row>
    <row r="13" spans="1:20" x14ac:dyDescent="0.3">
      <c r="C13" s="7" t="s">
        <v>43</v>
      </c>
      <c r="D13" s="3">
        <v>3</v>
      </c>
    </row>
    <row r="14" spans="1:20" x14ac:dyDescent="0.3">
      <c r="C14" s="7" t="s">
        <v>44</v>
      </c>
      <c r="D14" s="4" t="e">
        <f ca="1">IF(SelectedPeriod=每月大学预算!D$32,IF(每月大学预算!$D$29:$P$29&gt;=0,每月大学预算!$D$29:$P$29,NA()),NA())</f>
        <v>#N/A</v>
      </c>
      <c r="E14" s="4" t="e">
        <f>IF(SelectedPeriod=每月大学预算!E$32,IF(每月大学预算!$D$29:$P$29&gt;=0,每月大学预算!$D$29:$P$29,NA()),NA())</f>
        <v>#N/A</v>
      </c>
      <c r="F14" s="4">
        <f>IF(SelectedPeriod=每月大学预算!F$32,IF(每月大学预算!$D$29:$P$29&gt;=0,每月大学预算!$D$29:$P$29,NA()),NA())</f>
        <v>1920</v>
      </c>
      <c r="G14" s="4" t="e">
        <f>IF(SelectedPeriod=每月大学预算!G$32,IF(每月大学预算!$D$29:$P$29&gt;=0,每月大学预算!$D$29:$P$29,NA()),NA())</f>
        <v>#N/A</v>
      </c>
      <c r="H14" s="4" t="e">
        <f>IF(SelectedPeriod=每月大学预算!H$32,IF(每月大学预算!$D$29:$P$29&gt;=0,每月大学预算!$D$29:$P$29,NA()),NA())</f>
        <v>#N/A</v>
      </c>
      <c r="I14" s="4" t="e">
        <f>IF(SelectedPeriod=每月大学预算!I$32,IF(每月大学预算!$D$29:$P$29&gt;=0,每月大学预算!$D$29:$P$29,NA()),NA())</f>
        <v>#N/A</v>
      </c>
      <c r="J14" s="4" t="e">
        <f>IF(SelectedPeriod=每月大学预算!J$32,IF(每月大学预算!$D$29:$P$29&gt;=0,每月大学预算!$D$29:$P$29,NA()),NA())</f>
        <v>#N/A</v>
      </c>
      <c r="K14" s="4" t="e">
        <f>IF(SelectedPeriod=每月大学预算!K$32,IF(每月大学预算!$D$29:$P$29&gt;=0,每月大学预算!$D$29:$P$29,NA()),NA())</f>
        <v>#N/A</v>
      </c>
      <c r="L14" s="4" t="e">
        <f>IF(SelectedPeriod=每月大学预算!L$32,IF(每月大学预算!$D$29:$P$29&gt;=0,每月大学预算!$D$29:$P$29,NA()),NA())</f>
        <v>#N/A</v>
      </c>
      <c r="M14" s="4" t="e">
        <f>IF(SelectedPeriod=每月大学预算!M$32,IF(每月大学预算!$D$29:$P$29&gt;=0,每月大学预算!$D$29:$P$29,NA()),NA())</f>
        <v>#N/A</v>
      </c>
      <c r="N14" s="4" t="e">
        <f>IF(SelectedPeriod=每月大学预算!N$32,IF(每月大学预算!$D$29:$P$29&gt;=0,每月大学预算!$D$29:$P$29,NA()),NA())</f>
        <v>#N/A</v>
      </c>
      <c r="O14" s="4" t="e">
        <f>IF(SelectedPeriod=每月大学预算!O$32,IF(每月大学预算!$D$29:$P$29&gt;=0,每月大学预算!$D$29:$P$29,NA()),NA())</f>
        <v>#N/A</v>
      </c>
      <c r="P14" s="4" t="e">
        <f>IF(SelectedPeriod=每月大学预算!P$32,IF(每月大学预算!$D$29:$P$29&gt;=0,每月大学预算!$D$29:$P$29,NA()),NA())</f>
        <v>#N/A</v>
      </c>
    </row>
    <row r="15" spans="1:20" x14ac:dyDescent="0.3">
      <c r="C15" s="7" t="s">
        <v>45</v>
      </c>
      <c r="D15" s="4" t="e">
        <f ca="1">IF(SelectedPeriod=每月大学预算!D$32,IF(每月大学预算!$D$29:$P$29&lt;0,每月大学预算!$D$29:$P$29,NA()),NA())</f>
        <v>#N/A</v>
      </c>
      <c r="E15" s="4" t="e">
        <f>IF(SelectedPeriod=每月大学预算!E$32,IF(每月大学预算!$D$29:$P$29&lt;0,每月大学预算!$D$29:$P$29,NA()),NA())</f>
        <v>#N/A</v>
      </c>
      <c r="F15" s="4" t="e">
        <f>IF(SelectedPeriod=每月大学预算!F$32,IF(每月大学预算!$D$29:$P$29&lt;0,每月大学预算!$D$29:$P$29,NA()),NA())</f>
        <v>#N/A</v>
      </c>
      <c r="G15" s="4" t="e">
        <f>IF(SelectedPeriod=每月大学预算!G$32,IF(每月大学预算!$D$29:$P$29&lt;0,每月大学预算!$D$29:$P$29,NA()),NA())</f>
        <v>#N/A</v>
      </c>
      <c r="H15" s="4" t="e">
        <f>IF(SelectedPeriod=每月大学预算!H$32,IF(每月大学预算!$D$29:$P$29&lt;0,每月大学预算!$D$29:$P$29,NA()),NA())</f>
        <v>#N/A</v>
      </c>
      <c r="I15" s="4" t="e">
        <f>IF(SelectedPeriod=每月大学预算!I$32,IF(每月大学预算!$D$29:$P$29&lt;0,每月大学预算!$D$29:$P$29,NA()),NA())</f>
        <v>#N/A</v>
      </c>
      <c r="J15" s="4" t="e">
        <f>IF(SelectedPeriod=每月大学预算!J$32,IF(每月大学预算!$D$29:$P$29&lt;0,每月大学预算!$D$29:$P$29,NA()),NA())</f>
        <v>#N/A</v>
      </c>
      <c r="K15" s="4" t="e">
        <f>IF(SelectedPeriod=每月大学预算!K$32,IF(每月大学预算!$D$29:$P$29&lt;0,每月大学预算!$D$29:$P$29,NA()),NA())</f>
        <v>#N/A</v>
      </c>
      <c r="L15" s="4" t="e">
        <f>IF(SelectedPeriod=每月大学预算!L$32,IF(每月大学预算!$D$29:$P$29&lt;0,每月大学预算!$D$29:$P$29,NA()),NA())</f>
        <v>#N/A</v>
      </c>
      <c r="M15" s="4" t="e">
        <f>IF(SelectedPeriod=每月大学预算!M$32,IF(每月大学预算!$D$29:$P$29&lt;0,每月大学预算!$D$29:$P$29,NA()),NA())</f>
        <v>#N/A</v>
      </c>
      <c r="N15" s="4" t="e">
        <f>IF(SelectedPeriod=每月大学预算!N$32,IF(每月大学预算!$D$29:$P$29&lt;0,每月大学预算!$D$29:$P$29,NA()),NA())</f>
        <v>#N/A</v>
      </c>
      <c r="O15" s="4" t="e">
        <f>IF(SelectedPeriod=每月大学预算!O$32,IF(每月大学预算!$D$29:$P$29&lt;0,每月大学预算!$D$29:$P$29,NA()),NA())</f>
        <v>#N/A</v>
      </c>
      <c r="P15" s="4" t="e">
        <f>IF(SelectedPeriod=每月大学预算!P$32,IF(每月大学预算!$D$29:$P$29&lt;0,每月大学预算!$D$29:$P$29,NA()),NA())</f>
        <v>#N/A</v>
      </c>
    </row>
    <row r="18" spans="3:15" x14ac:dyDescent="0.3">
      <c r="C18" s="8" t="s">
        <v>46</v>
      </c>
      <c r="D18" s="1"/>
    </row>
    <row r="19" spans="3:15" x14ac:dyDescent="0.3">
      <c r="C19" s="9" t="s">
        <v>7</v>
      </c>
      <c r="D19" s="5">
        <f ca="1">每月大学预算!Q33</f>
        <v>0.30927835051546393</v>
      </c>
    </row>
    <row r="20" spans="3:15" x14ac:dyDescent="0.3">
      <c r="C20" s="9" t="s">
        <v>8</v>
      </c>
      <c r="D20" s="5">
        <f ca="1">每月大学预算!Q34</f>
        <v>0.18556701030927836</v>
      </c>
    </row>
    <row r="21" spans="3:15" x14ac:dyDescent="0.3">
      <c r="C21" s="9" t="s">
        <v>9</v>
      </c>
      <c r="D21" s="5">
        <f ca="1">每月大学预算!Q35</f>
        <v>0.41237113402061853</v>
      </c>
    </row>
    <row r="22" spans="3:15" x14ac:dyDescent="0.3">
      <c r="C22" s="9" t="s">
        <v>10</v>
      </c>
      <c r="D22" s="5">
        <f ca="1">每月大学预算!Q36</f>
        <v>6.1855670103092786E-2</v>
      </c>
    </row>
    <row r="23" spans="3:15" x14ac:dyDescent="0.3">
      <c r="C23" s="9" t="s">
        <v>11</v>
      </c>
      <c r="D23" s="5">
        <f ca="1">每月大学预算!Q37</f>
        <v>3.0927835051546393E-2</v>
      </c>
    </row>
    <row r="24" spans="3:15" x14ac:dyDescent="0.3">
      <c r="D24" s="5"/>
    </row>
    <row r="28" spans="3:15" x14ac:dyDescent="0.3">
      <c r="D28" s="2" t="str">
        <f>IF(SelectedStartMonth="1月","JAN",IF(SelectedStartMonth="2月","FEB",IF(SelectedStartMonth="3月","MAR",IF(SelectedStartMonth="4月","APR",IF(SelectedStartMonth="5月","MAY",IF(SelectedStartMonth="6月","JUN",IF(SelectedStartMonth="7月","JUL",IF(SelectedStartMonth="8月","AUG",IF(SelectedStartMonth="9月","SEP",IF(SelectedStartMonth="10月","OCT",IF(SelectedStartMonth="11月","NOV",IF(SelectedStartMonth="12月","DEC",))))))))))))</f>
        <v>JAN</v>
      </c>
      <c r="E28" s="27" t="str">
        <f t="shared" ref="E28:O28" si="0">byNextMNonth</f>
        <v xml:space="preserve">FEB </v>
      </c>
      <c r="F28" s="27" t="str">
        <f t="shared" si="0"/>
        <v xml:space="preserve">MAR </v>
      </c>
      <c r="G28" s="27" t="str">
        <f t="shared" si="0"/>
        <v xml:space="preserve">APR </v>
      </c>
      <c r="H28" s="27" t="str">
        <f t="shared" si="0"/>
        <v xml:space="preserve">MAY </v>
      </c>
      <c r="I28" s="27" t="str">
        <f t="shared" si="0"/>
        <v xml:space="preserve">JUN </v>
      </c>
      <c r="J28" s="27" t="str">
        <f t="shared" si="0"/>
        <v xml:space="preserve">JUL </v>
      </c>
      <c r="K28" s="27" t="str">
        <f t="shared" si="0"/>
        <v xml:space="preserve">AUG </v>
      </c>
      <c r="L28" s="27" t="str">
        <f t="shared" si="0"/>
        <v xml:space="preserve">SEP </v>
      </c>
      <c r="M28" s="27" t="str">
        <f t="shared" si="0"/>
        <v xml:space="preserve">OCT </v>
      </c>
      <c r="N28" s="27" t="str">
        <f t="shared" si="0"/>
        <v xml:space="preserve">NOV </v>
      </c>
      <c r="O28" s="27" t="str">
        <f t="shared" si="0"/>
        <v xml:space="preserve">DEC </v>
      </c>
    </row>
    <row r="31" spans="3:15" x14ac:dyDescent="0.3"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</row>
    <row r="32" spans="3:15" x14ac:dyDescent="0.3">
      <c r="D32" s="2" t="str">
        <f>IF(SelectedStartMonth="1月","JAN",IF(SelectedStartMonth="2月","FEB",IF(SelectedStartMonth="3月","MAR",IF(SelectedStartMonth="4月","APR",IF(SelectedStartMonth="5月","MAY",IF(SelectedStartMonth="6月","JUN",IF(SelectedStartMonth="7月","JUL",IF(SelectedStartMonth="8月","AUG",IF(SelectedStartMonth="9月","SEP",IF(SelectedStartMonth="10月","OCT",IF(SelectedStartMonth="11月","NOV",IF(SelectedStartMonth="12月","DEC",))))))))))))</f>
        <v>JAN</v>
      </c>
      <c r="E32" s="27" t="str">
        <f t="shared" ref="E32:O32" si="1">byNextMNonth</f>
        <v xml:space="preserve">FEB </v>
      </c>
      <c r="F32" s="27" t="str">
        <f t="shared" si="1"/>
        <v xml:space="preserve">MAR </v>
      </c>
      <c r="G32" s="27" t="str">
        <f t="shared" si="1"/>
        <v xml:space="preserve">APR </v>
      </c>
      <c r="H32" s="27" t="str">
        <f t="shared" si="1"/>
        <v xml:space="preserve">MAY </v>
      </c>
      <c r="I32" s="27" t="str">
        <f t="shared" si="1"/>
        <v xml:space="preserve">JUN </v>
      </c>
      <c r="J32" s="27" t="str">
        <f t="shared" si="1"/>
        <v xml:space="preserve">JUL </v>
      </c>
      <c r="K32" s="27" t="str">
        <f t="shared" si="1"/>
        <v xml:space="preserve">AUG </v>
      </c>
      <c r="L32" s="27" t="str">
        <f t="shared" si="1"/>
        <v xml:space="preserve">SEP </v>
      </c>
      <c r="M32" s="27" t="str">
        <f t="shared" si="1"/>
        <v xml:space="preserve">OCT </v>
      </c>
      <c r="N32" s="27" t="str">
        <f t="shared" si="1"/>
        <v xml:space="preserve">NOV </v>
      </c>
      <c r="O32" s="27" t="str">
        <f t="shared" si="1"/>
        <v xml:space="preserve">DEC </v>
      </c>
    </row>
    <row r="40" spans="4:15" x14ac:dyDescent="0.3">
      <c r="D40" s="2" t="str">
        <f>IF(SelectedStartMonth="1月","JAN",IF(SelectedStartMonth="2月","FEB",IF(SelectedStartMonth="3月","MAR",IF(SelectedStartMonth="4月","APR",IF(SelectedStartMonth="5月","MAY",IF(SelectedStartMonth="6月","JUN",IF(SelectedStartMonth="7月","JUL",IF(SelectedStartMonth="8月","AUG",IF(SelectedStartMonth="9月","SEP",IF(SelectedStartMonth="10月","OCT",IF(SelectedStartMonth="11月","NOV",IF(SelectedStartMonth="12月","DEC",))))))))))))</f>
        <v>JAN</v>
      </c>
      <c r="E40" s="27" t="str">
        <f t="shared" ref="E40:O40" si="2">byNextMNonth</f>
        <v xml:space="preserve">FEB </v>
      </c>
      <c r="F40" s="27" t="str">
        <f t="shared" si="2"/>
        <v xml:space="preserve">MAR </v>
      </c>
      <c r="G40" s="27" t="str">
        <f t="shared" si="2"/>
        <v xml:space="preserve">APR </v>
      </c>
      <c r="H40" s="27" t="str">
        <f t="shared" si="2"/>
        <v xml:space="preserve">MAY </v>
      </c>
      <c r="I40" s="27" t="str">
        <f t="shared" si="2"/>
        <v xml:space="preserve">JUN </v>
      </c>
      <c r="J40" s="27" t="str">
        <f t="shared" si="2"/>
        <v xml:space="preserve">JUL </v>
      </c>
      <c r="K40" s="27" t="str">
        <f t="shared" si="2"/>
        <v xml:space="preserve">AUG </v>
      </c>
      <c r="L40" s="27" t="str">
        <f t="shared" si="2"/>
        <v xml:space="preserve">SEP </v>
      </c>
      <c r="M40" s="27" t="str">
        <f t="shared" si="2"/>
        <v xml:space="preserve">OCT </v>
      </c>
      <c r="N40" s="27" t="str">
        <f t="shared" si="2"/>
        <v xml:space="preserve">NOV </v>
      </c>
      <c r="O40" s="27" t="str">
        <f t="shared" si="2"/>
        <v xml:space="preserve">DEC </v>
      </c>
    </row>
  </sheetData>
  <phoneticPr fontId="5" type="noConversion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PDescription xmlns="905c3888-6285-45d0-bd76-60a9ac2d738c" xsi:nil="true"/>
    <AssetExpire xmlns="905c3888-6285-45d0-bd76-60a9ac2d738c">2029-01-01T08:00:00+00:00</AssetExpire>
    <CampaignTagsTaxHTField0 xmlns="905c3888-6285-45d0-bd76-60a9ac2d738c">
      <Terms xmlns="http://schemas.microsoft.com/office/infopath/2007/PartnerControls"/>
    </CampaignTagsTaxHTField0>
    <IntlLangReviewDate xmlns="905c3888-6285-45d0-bd76-60a9ac2d738c" xsi:nil="true"/>
    <TPFriendlyName xmlns="905c3888-6285-45d0-bd76-60a9ac2d738c" xsi:nil="true"/>
    <IntlLangReview xmlns="905c3888-6285-45d0-bd76-60a9ac2d738c">false</IntlLangReview>
    <LocLastLocAttemptVersionLookup xmlns="905c3888-6285-45d0-bd76-60a9ac2d738c">845879</LocLastLocAttemptVersionLookup>
    <PolicheckWords xmlns="905c3888-6285-45d0-bd76-60a9ac2d738c" xsi:nil="true"/>
    <SubmitterId xmlns="905c3888-6285-45d0-bd76-60a9ac2d738c" xsi:nil="true"/>
    <AcquiredFrom xmlns="905c3888-6285-45d0-bd76-60a9ac2d738c">Internal MS</AcquiredFrom>
    <EditorialStatus xmlns="905c3888-6285-45d0-bd76-60a9ac2d738c" xsi:nil="true"/>
    <Markets xmlns="905c3888-6285-45d0-bd76-60a9ac2d738c"/>
    <OriginAsset xmlns="905c3888-6285-45d0-bd76-60a9ac2d738c" xsi:nil="true"/>
    <AssetStart xmlns="905c3888-6285-45d0-bd76-60a9ac2d738c">2012-06-28T22:27:00+00:00</AssetStart>
    <FriendlyTitle xmlns="905c3888-6285-45d0-bd76-60a9ac2d738c" xsi:nil="true"/>
    <MarketSpecific xmlns="905c3888-6285-45d0-bd76-60a9ac2d738c">false</MarketSpecific>
    <TPNamespace xmlns="905c3888-6285-45d0-bd76-60a9ac2d738c" xsi:nil="true"/>
    <PublishStatusLookup xmlns="905c3888-6285-45d0-bd76-60a9ac2d738c">
      <Value>478023</Value>
    </PublishStatusLookup>
    <APAuthor xmlns="905c3888-6285-45d0-bd76-60a9ac2d738c">
      <UserInfo>
        <DisplayName>REDMOND\v-pakosi</DisplayName>
        <AccountId>310</AccountId>
        <AccountType/>
      </UserInfo>
    </APAuthor>
    <TPCommandLine xmlns="905c3888-6285-45d0-bd76-60a9ac2d738c" xsi:nil="true"/>
    <IntlLangReviewer xmlns="905c3888-6285-45d0-bd76-60a9ac2d738c" xsi:nil="true"/>
    <OpenTemplate xmlns="905c3888-6285-45d0-bd76-60a9ac2d738c">true</OpenTemplate>
    <CSXSubmissionDate xmlns="905c3888-6285-45d0-bd76-60a9ac2d738c" xsi:nil="true"/>
    <TaxCatchAll xmlns="905c3888-6285-45d0-bd76-60a9ac2d738c"/>
    <Manager xmlns="905c3888-6285-45d0-bd76-60a9ac2d738c" xsi:nil="true"/>
    <NumericId xmlns="905c3888-6285-45d0-bd76-60a9ac2d738c" xsi:nil="true"/>
    <ParentAssetId xmlns="905c3888-6285-45d0-bd76-60a9ac2d738c" xsi:nil="true"/>
    <OriginalSourceMarket xmlns="905c3888-6285-45d0-bd76-60a9ac2d738c">english</OriginalSourceMarket>
    <ApprovalStatus xmlns="905c3888-6285-45d0-bd76-60a9ac2d738c">InProgress</ApprovalStatus>
    <TPComponent xmlns="905c3888-6285-45d0-bd76-60a9ac2d738c" xsi:nil="true"/>
    <EditorialTags xmlns="905c3888-6285-45d0-bd76-60a9ac2d738c" xsi:nil="true"/>
    <TPExecutable xmlns="905c3888-6285-45d0-bd76-60a9ac2d738c" xsi:nil="true"/>
    <TPLaunchHelpLink xmlns="905c3888-6285-45d0-bd76-60a9ac2d738c" xsi:nil="true"/>
    <LocComments xmlns="905c3888-6285-45d0-bd76-60a9ac2d738c" xsi:nil="true"/>
    <LocRecommendedHandoff xmlns="905c3888-6285-45d0-bd76-60a9ac2d738c" xsi:nil="true"/>
    <SourceTitle xmlns="905c3888-6285-45d0-bd76-60a9ac2d738c" xsi:nil="true"/>
    <CSXUpdate xmlns="905c3888-6285-45d0-bd76-60a9ac2d738c">false</CSXUpdate>
    <IntlLocPriority xmlns="905c3888-6285-45d0-bd76-60a9ac2d738c" xsi:nil="true"/>
    <UAProjectedTotalWords xmlns="905c3888-6285-45d0-bd76-60a9ac2d738c" xsi:nil="true"/>
    <AssetType xmlns="905c3888-6285-45d0-bd76-60a9ac2d738c">TP</AssetType>
    <MachineTranslated xmlns="905c3888-6285-45d0-bd76-60a9ac2d738c">false</MachineTranslated>
    <OutputCachingOn xmlns="905c3888-6285-45d0-bd76-60a9ac2d738c">false</OutputCachingOn>
    <TemplateStatus xmlns="905c3888-6285-45d0-bd76-60a9ac2d738c">Complete</TemplateStatus>
    <IsSearchable xmlns="905c3888-6285-45d0-bd76-60a9ac2d738c">false</IsSearchable>
    <ContentItem xmlns="905c3888-6285-45d0-bd76-60a9ac2d738c" xsi:nil="true"/>
    <HandoffToMSDN xmlns="905c3888-6285-45d0-bd76-60a9ac2d738c" xsi:nil="true"/>
    <ShowIn xmlns="905c3888-6285-45d0-bd76-60a9ac2d738c">Show everywhere</ShowIn>
    <ThumbnailAssetId xmlns="905c3888-6285-45d0-bd76-60a9ac2d738c" xsi:nil="true"/>
    <UALocComments xmlns="905c3888-6285-45d0-bd76-60a9ac2d738c" xsi:nil="true"/>
    <UALocRecommendation xmlns="905c3888-6285-45d0-bd76-60a9ac2d738c">Localize</UALocRecommendation>
    <LastModifiedDateTime xmlns="905c3888-6285-45d0-bd76-60a9ac2d738c" xsi:nil="true"/>
    <LegacyData xmlns="905c3888-6285-45d0-bd76-60a9ac2d738c" xsi:nil="true"/>
    <LocManualTestRequired xmlns="905c3888-6285-45d0-bd76-60a9ac2d738c">false</LocManualTestRequired>
    <LocMarketGroupTiers2 xmlns="905c3888-6285-45d0-bd76-60a9ac2d738c" xsi:nil="true"/>
    <ClipArtFilename xmlns="905c3888-6285-45d0-bd76-60a9ac2d738c" xsi:nil="true"/>
    <TPApplication xmlns="905c3888-6285-45d0-bd76-60a9ac2d738c" xsi:nil="true"/>
    <CSXHash xmlns="905c3888-6285-45d0-bd76-60a9ac2d738c" xsi:nil="true"/>
    <DirectSourceMarket xmlns="905c3888-6285-45d0-bd76-60a9ac2d738c">english</DirectSourceMarket>
    <PrimaryImageGen xmlns="905c3888-6285-45d0-bd76-60a9ac2d738c">false</PrimaryImageGen>
    <PlannedPubDate xmlns="905c3888-6285-45d0-bd76-60a9ac2d738c" xsi:nil="true"/>
    <CSXSubmissionMarket xmlns="905c3888-6285-45d0-bd76-60a9ac2d738c" xsi:nil="true"/>
    <Downloads xmlns="905c3888-6285-45d0-bd76-60a9ac2d738c">0</Downloads>
    <ArtSampleDocs xmlns="905c3888-6285-45d0-bd76-60a9ac2d738c" xsi:nil="true"/>
    <TrustLevel xmlns="905c3888-6285-45d0-bd76-60a9ac2d738c">1 Microsoft Managed Content</TrustLevel>
    <BlockPublish xmlns="905c3888-6285-45d0-bd76-60a9ac2d738c">false</BlockPublish>
    <TPLaunchHelpLinkType xmlns="905c3888-6285-45d0-bd76-60a9ac2d738c">Template</TPLaunchHelpLinkType>
    <LocalizationTagsTaxHTField0 xmlns="905c3888-6285-45d0-bd76-60a9ac2d738c">
      <Terms xmlns="http://schemas.microsoft.com/office/infopath/2007/PartnerControls"/>
    </LocalizationTagsTaxHTField0>
    <BusinessGroup xmlns="905c3888-6285-45d0-bd76-60a9ac2d738c" xsi:nil="true"/>
    <Providers xmlns="905c3888-6285-45d0-bd76-60a9ac2d738c" xsi:nil="true"/>
    <TemplateTemplateType xmlns="905c3888-6285-45d0-bd76-60a9ac2d738c">Excel Spreadsheet Template</TemplateTemplateType>
    <TimesCloned xmlns="905c3888-6285-45d0-bd76-60a9ac2d738c" xsi:nil="true"/>
    <TPAppVersion xmlns="905c3888-6285-45d0-bd76-60a9ac2d738c" xsi:nil="true"/>
    <VoteCount xmlns="905c3888-6285-45d0-bd76-60a9ac2d738c" xsi:nil="true"/>
    <AverageRating xmlns="905c3888-6285-45d0-bd76-60a9ac2d738c" xsi:nil="true"/>
    <FeatureTagsTaxHTField0 xmlns="905c3888-6285-45d0-bd76-60a9ac2d738c">
      <Terms xmlns="http://schemas.microsoft.com/office/infopath/2007/PartnerControls"/>
    </FeatureTagsTaxHTField0>
    <Provider xmlns="905c3888-6285-45d0-bd76-60a9ac2d738c" xsi:nil="true"/>
    <UACurrentWords xmlns="905c3888-6285-45d0-bd76-60a9ac2d738c" xsi:nil="true"/>
    <AssetId xmlns="905c3888-6285-45d0-bd76-60a9ac2d738c">TP102929973</AssetId>
    <TPClientViewer xmlns="905c3888-6285-45d0-bd76-60a9ac2d738c" xsi:nil="true"/>
    <DSATActionTaken xmlns="905c3888-6285-45d0-bd76-60a9ac2d738c" xsi:nil="true"/>
    <APEditor xmlns="905c3888-6285-45d0-bd76-60a9ac2d738c">
      <UserInfo>
        <DisplayName/>
        <AccountId xsi:nil="true"/>
        <AccountType/>
      </UserInfo>
    </APEditor>
    <TPInstallLocation xmlns="905c3888-6285-45d0-bd76-60a9ac2d738c" xsi:nil="true"/>
    <OOCacheId xmlns="905c3888-6285-45d0-bd76-60a9ac2d738c" xsi:nil="true"/>
    <IsDeleted xmlns="905c3888-6285-45d0-bd76-60a9ac2d738c">false</IsDeleted>
    <PublishTargets xmlns="905c3888-6285-45d0-bd76-60a9ac2d738c">OfficeOnlineVNext</PublishTargets>
    <ApprovalLog xmlns="905c3888-6285-45d0-bd76-60a9ac2d738c" xsi:nil="true"/>
    <BugNumber xmlns="905c3888-6285-45d0-bd76-60a9ac2d738c" xsi:nil="true"/>
    <CrawlForDependencies xmlns="905c3888-6285-45d0-bd76-60a9ac2d738c">false</CrawlForDependencies>
    <InternalTagsTaxHTField0 xmlns="905c3888-6285-45d0-bd76-60a9ac2d738c">
      <Terms xmlns="http://schemas.microsoft.com/office/infopath/2007/PartnerControls"/>
    </InternalTagsTaxHTField0>
    <LastHandOff xmlns="905c3888-6285-45d0-bd76-60a9ac2d738c" xsi:nil="true"/>
    <Milestone xmlns="905c3888-6285-45d0-bd76-60a9ac2d738c" xsi:nil="true"/>
    <OriginalRelease xmlns="905c3888-6285-45d0-bd76-60a9ac2d738c">15</OriginalRelease>
    <RecommendationsModifier xmlns="905c3888-6285-45d0-bd76-60a9ac2d738c" xsi:nil="true"/>
    <ScenarioTagsTaxHTField0 xmlns="905c3888-6285-45d0-bd76-60a9ac2d738c">
      <Terms xmlns="http://schemas.microsoft.com/office/infopath/2007/PartnerControls"/>
    </ScenarioTagsTaxHTField0>
    <UANotes xmlns="905c3888-6285-45d0-bd76-60a9ac2d738c" xsi:nil="true"/>
    <Description0 xmlns="a0b64b53-fba7-43ca-b952-90e5e74773dd" xsi:nil="true"/>
    <Component0 xmlns="a0b64b53-fba7-43ca-b952-90e5e74773dd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TemplateFile" ma:contentTypeID="0x0101008D8B3457135D67479991424C624CBB4704002439B9162B2E88498A324BEFF3815221" ma:contentTypeVersion="55" ma:contentTypeDescription="Create a new document." ma:contentTypeScope="" ma:versionID="a7e4f43ee53fc86ae1dd6272262eb9fb">
  <xsd:schema xmlns:xsd="http://www.w3.org/2001/XMLSchema" xmlns:xs="http://www.w3.org/2001/XMLSchema" xmlns:p="http://schemas.microsoft.com/office/2006/metadata/properties" xmlns:ns2="905c3888-6285-45d0-bd76-60a9ac2d738c" xmlns:ns3="a0b64b53-fba7-43ca-b952-90e5e74773dd" targetNamespace="http://schemas.microsoft.com/office/2006/metadata/properties" ma:root="true" ma:fieldsID="12cd52f9b34cd953802493d919c383c5" ns2:_="" ns3:_="">
    <xsd:import namespace="905c3888-6285-45d0-bd76-60a9ac2d738c"/>
    <xsd:import namespace="a0b64b53-fba7-43ca-b952-90e5e74773dd"/>
    <xsd:element name="properties">
      <xsd:complexType>
        <xsd:sequence>
          <xsd:element name="documentManagement">
            <xsd:complexType>
              <xsd:all>
                <xsd:element ref="ns2:AcquiredFrom" minOccurs="0"/>
                <xsd:element ref="ns2:UACurrentWords" minOccurs="0"/>
                <xsd:element ref="ns2:TPApplication" minOccurs="0"/>
                <xsd:element ref="ns2:ApprovalLog" minOccurs="0"/>
                <xsd:element ref="ns2:ApprovalStatus" minOccurs="0"/>
                <xsd:element ref="ns2:AssetStart" minOccurs="0"/>
                <xsd:element ref="ns2:AssetExpire" minOccurs="0"/>
                <xsd:element ref="ns2:AssetId" minOccurs="0"/>
                <xsd:element ref="ns2:IsSearchable" minOccurs="0"/>
                <xsd:element ref="ns2:AssetType" minOccurs="0"/>
                <xsd:element ref="ns2:APAuthor" minOccurs="0"/>
                <xsd:element ref="ns2:AverageRating" minOccurs="0"/>
                <xsd:element ref="ns2:BlockPublish" minOccurs="0"/>
                <xsd:element ref="ns2:BugNumber" minOccurs="0"/>
                <xsd:element ref="ns2:CampaignTagsTaxHTField0" minOccurs="0"/>
                <xsd:element ref="ns2:TPClientViewer" minOccurs="0"/>
                <xsd:element ref="ns2:ClipArtFilename" minOccurs="0"/>
                <xsd:element ref="ns2:TPCommandLine" minOccurs="0"/>
                <xsd:element ref="ns2:TPComponent" minOccurs="0"/>
                <xsd:element ref="ns2:ContentItem" minOccurs="0"/>
                <xsd:element ref="ns2:CrawlForDependencies" minOccurs="0"/>
                <xsd:element ref="ns2:CSXHash" minOccurs="0"/>
                <xsd:element ref="ns2:CSXSubmissionMarket" minOccurs="0"/>
                <xsd:element ref="ns2:CSXUpdate" minOccurs="0"/>
                <xsd:element ref="ns2:IntlLangReviewDate" minOccurs="0"/>
                <xsd:element ref="ns2:IsDeleted" minOccurs="0"/>
                <xsd:element ref="ns2:APDescription" minOccurs="0"/>
                <xsd:element ref="ns2:DirectSourceMarket" minOccurs="0"/>
                <xsd:element ref="ns2:Downloads" minOccurs="0"/>
                <xsd:element ref="ns2:DSATActionTaken" minOccurs="0"/>
                <xsd:element ref="ns2:APEditor" minOccurs="0"/>
                <xsd:element ref="ns2:EditorialStatus" minOccurs="0"/>
                <xsd:element ref="ns2:EditorialTags" minOccurs="0"/>
                <xsd:element ref="ns2:TPExecutable" minOccurs="0"/>
                <xsd:element ref="ns2:FeatureTagsTaxHTField0" minOccurs="0"/>
                <xsd:element ref="ns2:TPFriendlyName" minOccurs="0"/>
                <xsd:element ref="ns2:FriendlyTitle" minOccurs="0"/>
                <xsd:element ref="ns2:PrimaryImageGen" minOccurs="0"/>
                <xsd:element ref="ns2:HandoffToMSDN" minOccurs="0"/>
                <xsd:element ref="ns2:InProjectListLookup" minOccurs="0"/>
                <xsd:element ref="ns2:TPInstallLocation" minOccurs="0"/>
                <xsd:element ref="ns2:InternalTagsTaxHTField0" minOccurs="0"/>
                <xsd:element ref="ns2:IntlLangReview" minOccurs="0"/>
                <xsd:element ref="ns2:IntlLangReviewer" minOccurs="0"/>
                <xsd:element ref="ns2:MarketSpecific" minOccurs="0"/>
                <xsd:element ref="ns2:LastCompleteVersionLookup" minOccurs="0"/>
                <xsd:element ref="ns2:LastHandOff" minOccurs="0"/>
                <xsd:element ref="ns2:LastModifiedDateTime" minOccurs="0"/>
                <xsd:element ref="ns2:LastPreviewErrorLookup" minOccurs="0"/>
                <xsd:element ref="ns2:LastPreviewResultLookup" minOccurs="0"/>
                <xsd:element ref="ns2:LastPreviewAttemptDateLookup" minOccurs="0"/>
                <xsd:element ref="ns2:LastPreviewedByLookup" minOccurs="0"/>
                <xsd:element ref="ns2:LastPreviewTimeLookup" minOccurs="0"/>
                <xsd:element ref="ns2:LastPreviewVersionLookup" minOccurs="0"/>
                <xsd:element ref="ns2:LastPublishErrorLookup" minOccurs="0"/>
                <xsd:element ref="ns2:LastPublishResultLookup" minOccurs="0"/>
                <xsd:element ref="ns2:LastPublishAttemptDateLookup" minOccurs="0"/>
                <xsd:element ref="ns2:LastPublishedByLookup" minOccurs="0"/>
                <xsd:element ref="ns2:LastPublishTimeLookup" minOccurs="0"/>
                <xsd:element ref="ns2:LastPublishVersionLookup" minOccurs="0"/>
                <xsd:element ref="ns2:TPLaunchHelpLinkType" minOccurs="0"/>
                <xsd:element ref="ns2:LegacyData" minOccurs="0"/>
                <xsd:element ref="ns2:TPLaunchHelpLink" minOccurs="0"/>
                <xsd:element ref="ns2:LocComments" minOccurs="0"/>
                <xsd:element ref="ns2:LocLastLocAttemptVersionLookup" minOccurs="0"/>
                <xsd:element ref="ns2:LocLastLocAttemptVersionTypeLookup" minOccurs="0"/>
                <xsd:element ref="ns2:LocManualTestRequired" minOccurs="0"/>
                <xsd:element ref="ns2:LocMarketGroupTiers2" minOccurs="0"/>
                <xsd:element ref="ns2:LocNewPublishedVersionLookup" minOccurs="0"/>
                <xsd:element ref="ns2:LocOverallHandbackStatusLookup" minOccurs="0"/>
                <xsd:element ref="ns2:LocOverallLocStatusLookup" minOccurs="0"/>
                <xsd:element ref="ns2:LocOverallPreviewStatusLookup" minOccurs="0"/>
                <xsd:element ref="ns2:LocOverallPublishStatusLookup" minOccurs="0"/>
                <xsd:element ref="ns2:IntlLocPriority" minOccurs="0"/>
                <xsd:element ref="ns2:LocProcessedForHandoffsLookup" minOccurs="0"/>
                <xsd:element ref="ns2:LocProcessedForMarketsLookup" minOccurs="0"/>
                <xsd:element ref="ns2:LocPublishedDependentAssetsLookup" minOccurs="0"/>
                <xsd:element ref="ns2:LocPublishedLinkedAssetsLookup" minOccurs="0"/>
                <xsd:element ref="ns2:LocRecommendedHandoff" minOccurs="0"/>
                <xsd:element ref="ns2:LocalizationTagsTaxHTField0" minOccurs="0"/>
                <xsd:element ref="ns2:MachineTranslated" minOccurs="0"/>
                <xsd:element ref="ns2:Manager" minOccurs="0"/>
                <xsd:element ref="ns2:Markets" minOccurs="0"/>
                <xsd:element ref="ns2:Milestone" minOccurs="0"/>
                <xsd:element ref="ns2:TPNamespace" minOccurs="0"/>
                <xsd:element ref="ns2:NumericId" minOccurs="0"/>
                <xsd:element ref="ns2:NumOfRatingsLookup" minOccurs="0"/>
                <xsd:element ref="ns2:OOCacheId" minOccurs="0"/>
                <xsd:element ref="ns2:OpenTemplate" minOccurs="0"/>
                <xsd:element ref="ns2:OriginAsset" minOccurs="0"/>
                <xsd:element ref="ns2:OriginalRelease" minOccurs="0"/>
                <xsd:element ref="ns2:OriginalSourceMarket" minOccurs="0"/>
                <xsd:element ref="ns2:OutputCachingOn" minOccurs="0"/>
                <xsd:element ref="ns2:ParentAssetId" minOccurs="0"/>
                <xsd:element ref="ns2:PlannedPubDate" minOccurs="0"/>
                <xsd:element ref="ns2:PolicheckWords" minOccurs="0"/>
                <xsd:element ref="ns2:BusinessGroup" minOccurs="0"/>
                <xsd:element ref="ns2:UAProjectedTotalWords" minOccurs="0"/>
                <xsd:element ref="ns2:Provider" minOccurs="0"/>
                <xsd:element ref="ns2:Providers" minOccurs="0"/>
                <xsd:element ref="ns2:PublishStatusLookup" minOccurs="0"/>
                <xsd:element ref="ns2:PublishTargets" minOccurs="0"/>
                <xsd:element ref="ns2:RecommendationsModifier" minOccurs="0"/>
                <xsd:element ref="ns2:ArtSampleDocs" minOccurs="0"/>
                <xsd:element ref="ns2:ScenarioTagsTaxHTField0" minOccurs="0"/>
                <xsd:element ref="ns2:ShowIn" minOccurs="0"/>
                <xsd:element ref="ns2:SourceTitle" minOccurs="0"/>
                <xsd:element ref="ns2:CSXSubmissionDate" minOccurs="0"/>
                <xsd:element ref="ns2:SubmitterId" minOccurs="0"/>
                <xsd:element ref="ns2:TaxCatchAll" minOccurs="0"/>
                <xsd:element ref="ns2:TaxCatchAllLabel" minOccurs="0"/>
                <xsd:element ref="ns2:TemplateStatus" minOccurs="0"/>
                <xsd:element ref="ns2:TemplateTemplateType" minOccurs="0"/>
                <xsd:element ref="ns2:ThumbnailAssetId" minOccurs="0"/>
                <xsd:element ref="ns2:TimesCloned" minOccurs="0"/>
                <xsd:element ref="ns2:TrustLevel" minOccurs="0"/>
                <xsd:element ref="ns2:UALocComments" minOccurs="0"/>
                <xsd:element ref="ns2:UALocRecommendation" minOccurs="0"/>
                <xsd:element ref="ns2:UANotes" minOccurs="0"/>
                <xsd:element ref="ns2:TPAppVersion" minOccurs="0"/>
                <xsd:element ref="ns2:VoteCount" minOccurs="0"/>
                <xsd:element ref="ns3:Description0" minOccurs="0"/>
                <xsd:element ref="ns3:Component0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05c3888-6285-45d0-bd76-60a9ac2d738c" elementFormDefault="qualified">
    <xsd:import namespace="http://schemas.microsoft.com/office/2006/documentManagement/types"/>
    <xsd:import namespace="http://schemas.microsoft.com/office/infopath/2007/PartnerControls"/>
    <xsd:element name="AcquiredFrom" ma:index="1" nillable="true" ma:displayName="Acquired From" ma:default="Internal MS" ma:internalName="AcquiredFrom" ma:readOnly="false">
      <xsd:simpleType>
        <xsd:restriction base="dms:Choice">
          <xsd:enumeration value="Internal MS"/>
          <xsd:enumeration value="Community"/>
          <xsd:enumeration value="MVP"/>
          <xsd:enumeration value="Publisher"/>
          <xsd:enumeration value="Partner"/>
          <xsd:enumeration value="None"/>
        </xsd:restriction>
      </xsd:simpleType>
    </xsd:element>
    <xsd:element name="UACurrentWords" ma:index="2" nillable="true" ma:displayName="Actual Word Count" ma:default="" ma:internalName="UACurrentWords" ma:readOnly="false">
      <xsd:simpleType>
        <xsd:restriction base="dms:Unknown"/>
      </xsd:simpleType>
    </xsd:element>
    <xsd:element name="TPApplication" ma:index="3" nillable="true" ma:displayName="Application to Open Template With" ma:default="" ma:internalName="TPApplication">
      <xsd:simpleType>
        <xsd:restriction base="dms:Text"/>
      </xsd:simpleType>
    </xsd:element>
    <xsd:element name="ApprovalLog" ma:index="4" nillable="true" ma:displayName="Approval Log" ma:default="" ma:hidden="true" ma:internalName="ApprovalLog" ma:readOnly="false">
      <xsd:simpleType>
        <xsd:restriction base="dms:Note"/>
      </xsd:simpleType>
    </xsd:element>
    <xsd:element name="ApprovalStatus" ma:index="5" nillable="true" ma:displayName="Approval Status" ma:default="InProgress" ma:internalName="ApprovalStatus" ma:readOnly="false">
      <xsd:simpleType>
        <xsd:restriction base="dms:Choice">
          <xsd:enumeration value="InProgress"/>
          <xsd:enumeration value="Rejected"/>
          <xsd:enumeration value="Questionable"/>
          <xsd:enumeration value="ApprovedAutomatic"/>
          <xsd:enumeration value="ApprovedManual"/>
          <xsd:enumeration value="On Hold"/>
          <xsd:enumeration value="Needs Review"/>
          <xsd:enumeration value="A Violation"/>
          <xsd:enumeration value="Unpublished Violation"/>
        </xsd:restriction>
      </xsd:simpleType>
    </xsd:element>
    <xsd:element name="AssetStart" ma:index="6" nillable="true" ma:displayName="Asset Begin Date" ma:default="[Today]" ma:internalName="AssetStart" ma:readOnly="false">
      <xsd:simpleType>
        <xsd:restriction base="dms:DateTime"/>
      </xsd:simpleType>
    </xsd:element>
    <xsd:element name="AssetExpire" ma:index="7" nillable="true" ma:displayName="Asset End Date" ma:default="2029-01-01T00:00:00Z" ma:internalName="AssetExpire" ma:readOnly="false">
      <xsd:simpleType>
        <xsd:restriction base="dms:DateTime"/>
      </xsd:simpleType>
    </xsd:element>
    <xsd:element name="AssetId" ma:index="8" nillable="true" ma:displayName="Asset ID" ma:default="" ma:indexed="true" ma:internalName="AssetId" ma:readOnly="false">
      <xsd:simpleType>
        <xsd:restriction base="dms:Text">
          <xsd:maxLength value="255"/>
        </xsd:restriction>
      </xsd:simpleType>
    </xsd:element>
    <xsd:element name="IsSearchable" ma:index="9" nillable="true" ma:displayName="Asset Searchable?" ma:default="true" ma:internalName="IsSearchable" ma:readOnly="false">
      <xsd:simpleType>
        <xsd:restriction base="dms:Boolean"/>
      </xsd:simpleType>
    </xsd:element>
    <xsd:element name="AssetType" ma:index="10" nillable="true" ma:displayName="Asset Type" ma:default="" ma:internalName="AssetType" ma:readOnly="false">
      <xsd:simpleType>
        <xsd:restriction base="dms:Unknown"/>
      </xsd:simpleType>
    </xsd:element>
    <xsd:element name="APAuthor" ma:index="11" nillable="true" ma:displayName="Author" ma:default="" ma:list="UserInfo" ma:internalName="APAuth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AverageRating" ma:index="12" nillable="true" ma:displayName="Average Rating" ma:internalName="AverageRating" ma:readOnly="false">
      <xsd:simpleType>
        <xsd:restriction base="dms:Text"/>
      </xsd:simpleType>
    </xsd:element>
    <xsd:element name="BlockPublish" ma:index="13" nillable="true" ma:displayName="Block from Publishing?" ma:default="" ma:internalName="BlockPublish" ma:readOnly="false">
      <xsd:simpleType>
        <xsd:restriction base="dms:Boolean"/>
      </xsd:simpleType>
    </xsd:element>
    <xsd:element name="BugNumber" ma:index="14" nillable="true" ma:displayName="Bug Number" ma:default="" ma:internalName="BugNumber" ma:readOnly="false">
      <xsd:simpleType>
        <xsd:restriction base="dms:Text"/>
      </xsd:simpleType>
    </xsd:element>
    <xsd:element name="CampaignTagsTaxHTField0" ma:index="16" nillable="true" ma:taxonomy="true" ma:internalName="CampaignTagsTaxHTField0" ma:taxonomyFieldName="CampaignTags" ma:displayName="Campaigns" ma:readOnly="false" ma:default="" ma:fieldId="{2fd52ad2-63b0-4f05-b7aa-a17a1c48ca45}" ma:taxonomyMulti="true" ma:sspId="8f79753a-75d3-41f5-8ca3-40b843941b4f" ma:termSetId="ca0e50d4-faa1-44ce-961e-bb1441c60e6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ClientViewer" ma:index="17" nillable="true" ma:displayName="Client Viewer" ma:default="" ma:internalName="TPClientViewer">
      <xsd:simpleType>
        <xsd:restriction base="dms:Text"/>
      </xsd:simpleType>
    </xsd:element>
    <xsd:element name="ClipArtFilename" ma:index="18" nillable="true" ma:displayName="Clip Art Name" ma:default="" ma:internalName="ClipArtFilename" ma:readOnly="false">
      <xsd:simpleType>
        <xsd:restriction base="dms:Text"/>
      </xsd:simpleType>
    </xsd:element>
    <xsd:element name="TPCommandLine" ma:index="19" nillable="true" ma:displayName="Command Line" ma:default="" ma:internalName="TPCommandLine">
      <xsd:simpleType>
        <xsd:restriction base="dms:Text"/>
      </xsd:simpleType>
    </xsd:element>
    <xsd:element name="TPComponent" ma:index="20" nillable="true" ma:displayName="Component" ma:default="" ma:internalName="TPComponent">
      <xsd:simpleType>
        <xsd:restriction base="dms:Text"/>
      </xsd:simpleType>
    </xsd:element>
    <xsd:element name="ContentItem" ma:index="21" nillable="true" ma:displayName="Content Item" ma:default="" ma:hidden="true" ma:internalName="ContentItem" ma:readOnly="false">
      <xsd:simpleType>
        <xsd:restriction base="dms:Unknown"/>
      </xsd:simpleType>
    </xsd:element>
    <xsd:element name="CrawlForDependencies" ma:index="23" nillable="true" ma:displayName="Crawl for Dependencies?" ma:default="true" ma:internalName="CrawlForDependencies" ma:readOnly="false">
      <xsd:simpleType>
        <xsd:restriction base="dms:Boolean"/>
      </xsd:simpleType>
    </xsd:element>
    <xsd:element name="CSXHash" ma:index="26" nillable="true" ma:displayName="CSX Hash" ma:default="" ma:indexed="true" ma:internalName="CSXHash" ma:readOnly="false">
      <xsd:simpleType>
        <xsd:restriction base="dms:Text"/>
      </xsd:simpleType>
    </xsd:element>
    <xsd:element name="CSXSubmissionMarket" ma:index="27" nillable="true" ma:displayName="CSX Submission Market" ma:default="" ma:list="{85FC5A58-2851-427E-95B4-AFAF1C73BA4D}" ma:internalName="CSXSubmissionMarket" ma:readOnly="false" ma:showField="MarketName" ma:web="905c3888-6285-45d0-bd76-60a9ac2d738c">
      <xsd:simpleType>
        <xsd:restriction base="dms:Lookup"/>
      </xsd:simpleType>
    </xsd:element>
    <xsd:element name="CSXUpdate" ma:index="28" nillable="true" ma:displayName="CSX Updated?" ma:default="false" ma:internalName="CSXUpdate" ma:readOnly="false">
      <xsd:simpleType>
        <xsd:restriction base="dms:Boolean"/>
      </xsd:simpleType>
    </xsd:element>
    <xsd:element name="IntlLangReviewDate" ma:index="29" nillable="true" ma:displayName="Date to Complete Intl QA" ma:default="" ma:internalName="IntlLangReviewDate" ma:readOnly="false">
      <xsd:simpleType>
        <xsd:restriction base="dms:DateTime"/>
      </xsd:simpleType>
    </xsd:element>
    <xsd:element name="IsDeleted" ma:index="30" nillable="true" ma:displayName="Deleted?" ma:default="" ma:internalName="IsDeleted" ma:readOnly="false">
      <xsd:simpleType>
        <xsd:restriction base="dms:Boolean"/>
      </xsd:simpleType>
    </xsd:element>
    <xsd:element name="APDescription" ma:index="31" nillable="true" ma:displayName="Description" ma:default="" ma:internalName="APDescription" ma:readOnly="false">
      <xsd:simpleType>
        <xsd:restriction base="dms:Note"/>
      </xsd:simpleType>
    </xsd:element>
    <xsd:element name="DirectSourceMarket" ma:index="32" nillable="true" ma:displayName="Direct Source Market Group" ma:default="" ma:internalName="DirectSourceMarket" ma:readOnly="false">
      <xsd:simpleType>
        <xsd:restriction base="dms:Text"/>
      </xsd:simpleType>
    </xsd:element>
    <xsd:element name="Downloads" ma:index="33" nillable="true" ma:displayName="Downloads" ma:default="0" ma:hidden="true" ma:internalName="Downloads" ma:readOnly="false">
      <xsd:simpleType>
        <xsd:restriction base="dms:Unknown"/>
      </xsd:simpleType>
    </xsd:element>
    <xsd:element name="DSATActionTaken" ma:index="34" nillable="true" ma:displayName="DSAT Action Taken" ma:default="" ma:internalName="DSATActionTaken" ma:readOnly="false">
      <xsd:simpleType>
        <xsd:restriction base="dms:Choice">
          <xsd:enumeration value="Best Bets"/>
          <xsd:enumeration value="Expire"/>
          <xsd:enumeration value="Hide"/>
          <xsd:enumeration value="None"/>
        </xsd:restriction>
      </xsd:simpleType>
    </xsd:element>
    <xsd:element name="APEditor" ma:index="35" nillable="true" ma:displayName="Editor" ma:default="" ma:list="UserInfo" ma:internalName="APEdit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ditorialStatus" ma:index="36" nillable="true" ma:displayName="Editorial Status" ma:default="" ma:internalName="EditorialStatus" ma:readOnly="false">
      <xsd:simpleType>
        <xsd:restriction base="dms:Unknown"/>
      </xsd:simpleType>
    </xsd:element>
    <xsd:element name="EditorialTags" ma:index="37" nillable="true" ma:displayName="Editorial Tags" ma:default="" ma:internalName="EditorialTags">
      <xsd:simpleType>
        <xsd:restriction base="dms:Unknown"/>
      </xsd:simpleType>
    </xsd:element>
    <xsd:element name="TPExecutable" ma:index="38" nillable="true" ma:displayName="Executable" ma:default="" ma:internalName="TPExecutable">
      <xsd:simpleType>
        <xsd:restriction base="dms:Text"/>
      </xsd:simpleType>
    </xsd:element>
    <xsd:element name="FeatureTagsTaxHTField0" ma:index="40" nillable="true" ma:taxonomy="true" ma:internalName="FeatureTagsTaxHTField0" ma:taxonomyFieldName="FeatureTags" ma:displayName="Features" ma:readOnly="false" ma:default="" ma:fieldId="{d402824c-da96-4981-b598-df734aacbc3e}" ma:taxonomyMulti="true" ma:sspId="8f79753a-75d3-41f5-8ca3-40b843941b4f" ma:termSetId="f1ab6845-967d-4854-a0ba-4ec07f0f811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FriendlyName" ma:index="41" nillable="true" ma:displayName="Friendly Name" ma:default="" ma:internalName="TPFriendlyName">
      <xsd:simpleType>
        <xsd:restriction base="dms:Text"/>
      </xsd:simpleType>
    </xsd:element>
    <xsd:element name="FriendlyTitle" ma:index="42" nillable="true" ma:displayName="Friendly Title" ma:default="" ma:description="Shorter title to be used when displaying search results" ma:internalName="FriendlyTitle" ma:readOnly="false">
      <xsd:simpleType>
        <xsd:restriction base="dms:Text"/>
      </xsd:simpleType>
    </xsd:element>
    <xsd:element name="PrimaryImageGen" ma:index="43" nillable="true" ma:displayName="Generate Images?" ma:default="true" ma:internalName="PrimaryImageGen">
      <xsd:simpleType>
        <xsd:restriction base="dms:Boolean"/>
      </xsd:simpleType>
    </xsd:element>
    <xsd:element name="HandoffToMSDN" ma:index="44" nillable="true" ma:displayName="Handoff To MSDN Date" ma:default="" ma:internalName="HandoffToMSDN" ma:readOnly="false">
      <xsd:simpleType>
        <xsd:restriction base="dms:DateTime"/>
      </xsd:simpleType>
    </xsd:element>
    <xsd:element name="InProjectListLookup" ma:index="45" nillable="true" ma:displayName="InProjectListLookup" ma:list="{7F948D4D-A57E-4E3F-87E9-0ABE9F2D748E}" ma:internalName="InProjectListLookup" ma:readOnly="true" ma:showField="InProjectList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InstallLocation" ma:index="46" nillable="true" ma:displayName="Install Location" ma:default="" ma:internalName="TPInstallLocation">
      <xsd:simpleType>
        <xsd:restriction base="dms:Text"/>
      </xsd:simpleType>
    </xsd:element>
    <xsd:element name="InternalTagsTaxHTField0" ma:index="48" nillable="true" ma:taxonomy="true" ma:internalName="InternalTagsTaxHTField0" ma:taxonomyFieldName="InternalTags" ma:displayName="Internal Tags" ma:readOnly="false" ma:default="" ma:fieldId="{b8eee2a3-2d4f-4b12-b229-9e667c371718}" ma:taxonomyMulti="true" ma:sspId="8f79753a-75d3-41f5-8ca3-40b843941b4f" ma:termSetId="82b6639e-f7fc-4c18-ad2d-003a6e707765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IntlLangReview" ma:index="49" nillable="true" ma:displayName="Intl Lang QA Review Required?" ma:default="" ma:internalName="IntlLangReview" ma:readOnly="false">
      <xsd:simpleType>
        <xsd:restriction base="dms:Boolean"/>
      </xsd:simpleType>
    </xsd:element>
    <xsd:element name="IntlLangReviewer" ma:index="50" nillable="true" ma:displayName="Intl Lang QA Reviewer" ma:default="" ma:internalName="IntlLangReviewer" ma:readOnly="false">
      <xsd:simpleType>
        <xsd:restriction base="dms:Text"/>
      </xsd:simpleType>
    </xsd:element>
    <xsd:element name="MarketSpecific" ma:index="51" nillable="true" ma:displayName="Is Market Specific?" ma:default="" ma:internalName="MarketSpecific" ma:readOnly="false">
      <xsd:simpleType>
        <xsd:restriction base="dms:Boolean"/>
      </xsd:simpleType>
    </xsd:element>
    <xsd:element name="LastCompleteVersionLookup" ma:index="52" nillable="true" ma:displayName="Last Complete Version Lookup" ma:default="" ma:list="{7F948D4D-A57E-4E3F-87E9-0ABE9F2D748E}" ma:internalName="LastCompleteVersionLookup" ma:readOnly="true" ma:showField="LastCompleteVersion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HandOff" ma:index="53" nillable="true" ma:displayName="Last Hand-off" ma:default="" ma:internalName="LastHandOff" ma:readOnly="false">
      <xsd:simpleType>
        <xsd:restriction base="dms:DateTime"/>
      </xsd:simpleType>
    </xsd:element>
    <xsd:element name="LastModifiedDateTime" ma:index="54" nillable="true" ma:displayName="Last Modified Date" ma:default="" ma:internalName="LastModifiedDateTime" ma:readOnly="false">
      <xsd:simpleType>
        <xsd:restriction base="dms:DateTime"/>
      </xsd:simpleType>
    </xsd:element>
    <xsd:element name="LastPreviewErrorLookup" ma:index="55" nillable="true" ma:displayName="Last Preview Attempt Error" ma:default="" ma:list="{7F948D4D-A57E-4E3F-87E9-0ABE9F2D748E}" ma:internalName="LastPreviewErrorLookup" ma:readOnly="true" ma:showField="LastPreviewError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ResultLookup" ma:index="56" nillable="true" ma:displayName="Last Preview Attempt Result" ma:default="" ma:list="{7F948D4D-A57E-4E3F-87E9-0ABE9F2D748E}" ma:internalName="LastPreviewResultLookup" ma:readOnly="true" ma:showField="LastPreviewResult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AttemptDateLookup" ma:index="57" nillable="true" ma:displayName="Last Preview Attempted On" ma:default="" ma:list="{7F948D4D-A57E-4E3F-87E9-0ABE9F2D748E}" ma:internalName="LastPreviewAttemptDateLookup" ma:readOnly="true" ma:showField="LastPreviewAttemptDate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edByLookup" ma:index="58" nillable="true" ma:displayName="Last Previewed By" ma:default="" ma:list="{7F948D4D-A57E-4E3F-87E9-0ABE9F2D748E}" ma:internalName="LastPreviewedByLookup" ma:readOnly="true" ma:showField="LastPreviewedBy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TimeLookup" ma:index="59" nillable="true" ma:displayName="Last Previewed Date" ma:default="" ma:list="{7F948D4D-A57E-4E3F-87E9-0ABE9F2D748E}" ma:internalName="LastPreviewTimeLookup" ma:readOnly="true" ma:showField="LastPreviewTime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VersionLookup" ma:index="60" nillable="true" ma:displayName="Last Previewed Version" ma:default="" ma:list="{7F948D4D-A57E-4E3F-87E9-0ABE9F2D748E}" ma:internalName="LastPreviewVersionLookup" ma:readOnly="true" ma:showField="LastPreviewVersion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rrorLookup" ma:index="61" nillable="true" ma:displayName="Last Publish Attempt Error" ma:default="" ma:list="{7F948D4D-A57E-4E3F-87E9-0ABE9F2D748E}" ma:internalName="LastPublishErrorLookup" ma:readOnly="true" ma:showField="LastPublishError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ResultLookup" ma:index="62" nillable="true" ma:displayName="Last Publish Attempt Result" ma:default="" ma:list="{7F948D4D-A57E-4E3F-87E9-0ABE9F2D748E}" ma:internalName="LastPublishResultLookup" ma:readOnly="true" ma:showField="LastPublishResult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AttemptDateLookup" ma:index="63" nillable="true" ma:displayName="Last Publish Attempted On" ma:default="" ma:list="{7F948D4D-A57E-4E3F-87E9-0ABE9F2D748E}" ma:internalName="LastPublishAttemptDateLookup" ma:readOnly="true" ma:showField="LastPublishAttemptDate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dByLookup" ma:index="64" nillable="true" ma:displayName="Last Published By" ma:default="" ma:list="{7F948D4D-A57E-4E3F-87E9-0ABE9F2D748E}" ma:internalName="LastPublishedByLookup" ma:readOnly="true" ma:showField="LastPublishedBy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TimeLookup" ma:index="65" nillable="true" ma:displayName="Last Published Date" ma:default="" ma:list="{7F948D4D-A57E-4E3F-87E9-0ABE9F2D748E}" ma:internalName="LastPublishTimeLookup" ma:readOnly="true" ma:showField="LastPublishTime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VersionLookup" ma:index="66" nillable="true" ma:displayName="Last Published Version" ma:default="" ma:list="{7F948D4D-A57E-4E3F-87E9-0ABE9F2D748E}" ma:internalName="LastPublishVersionLookup" ma:readOnly="true" ma:showField="LastPublishVersion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LaunchHelpLinkType" ma:index="67" nillable="true" ma:displayName="Launch Help Link Type" ma:default="Template" ma:internalName="TPLaunchHelpLinkType">
      <xsd:simpleType>
        <xsd:restriction base="dms:Choice">
          <xsd:enumeration value="Template"/>
          <xsd:enumeration value="Training"/>
          <xsd:enumeration value="URL"/>
          <xsd:enumeration value="None"/>
        </xsd:restriction>
      </xsd:simpleType>
    </xsd:element>
    <xsd:element name="LegacyData" ma:index="68" nillable="true" ma:displayName="Legacy Data" ma:default="" ma:internalName="LegacyData" ma:readOnly="false">
      <xsd:simpleType>
        <xsd:restriction base="dms:Note"/>
      </xsd:simpleType>
    </xsd:element>
    <xsd:element name="TPLaunchHelpLink" ma:index="69" nillable="true" ma:displayName="Link to Launch Help Topic" ma:default="" ma:internalName="TPLaunchHelpLink">
      <xsd:simpleType>
        <xsd:restriction base="dms:Text"/>
      </xsd:simpleType>
    </xsd:element>
    <xsd:element name="LocComments" ma:index="70" nillable="true" ma:displayName="Loc Approval Comments" ma:default="" ma:internalName="LocComments" ma:readOnly="false">
      <xsd:simpleType>
        <xsd:restriction base="dms:Note"/>
      </xsd:simpleType>
    </xsd:element>
    <xsd:element name="LocLastLocAttemptVersionLookup" ma:index="71" nillable="true" ma:displayName="Loc Last Loc Attempt Version" ma:default="" ma:list="{B1EFB310-8154-40EE-A736-2FF11D479763}" ma:internalName="LocLastLocAttemptVersionLookup" ma:readOnly="false" ma:showField="LastLocAttemptVersion" ma:web="905c3888-6285-45d0-bd76-60a9ac2d738c">
      <xsd:simpleType>
        <xsd:restriction base="dms:Lookup"/>
      </xsd:simpleType>
    </xsd:element>
    <xsd:element name="LocLastLocAttemptVersionTypeLookup" ma:index="72" nillable="true" ma:displayName="Loc Last Loc Attempt Version Type" ma:default="" ma:list="{B1EFB310-8154-40EE-A736-2FF11D479763}" ma:internalName="LocLastLocAttemptVersionTypeLookup" ma:readOnly="true" ma:showField="LastLocAttemptVersionType" ma:web="905c3888-6285-45d0-bd76-60a9ac2d738c">
      <xsd:simpleType>
        <xsd:restriction base="dms:Lookup"/>
      </xsd:simpleType>
    </xsd:element>
    <xsd:element name="LocManualTestRequired" ma:index="73" nillable="true" ma:displayName="Loc Manual Test Required" ma:default="" ma:internalName="LocManualTestRequired" ma:readOnly="false">
      <xsd:simpleType>
        <xsd:restriction base="dms:Boolean"/>
      </xsd:simpleType>
    </xsd:element>
    <xsd:element name="LocMarketGroupTiers2" ma:index="74" nillable="true" ma:displayName="Loc Market Group Tiers" ma:internalName="LocMarketGroupTiers2" ma:readOnly="false">
      <xsd:simpleType>
        <xsd:restriction base="dms:Unknown"/>
      </xsd:simpleType>
    </xsd:element>
    <xsd:element name="LocNewPublishedVersionLookup" ma:index="75" nillable="true" ma:displayName="Loc New Published Version Lookup" ma:default="" ma:list="{B1EFB310-8154-40EE-A736-2FF11D479763}" ma:internalName="LocNewPublishedVersionLookup" ma:readOnly="true" ma:showField="NewPublishedVersion" ma:web="905c3888-6285-45d0-bd76-60a9ac2d738c">
      <xsd:simpleType>
        <xsd:restriction base="dms:Lookup"/>
      </xsd:simpleType>
    </xsd:element>
    <xsd:element name="LocOverallHandbackStatusLookup" ma:index="76" nillable="true" ma:displayName="Loc Overall Handback Status" ma:default="" ma:list="{B1EFB310-8154-40EE-A736-2FF11D479763}" ma:internalName="LocOverallHandbackStatusLookup" ma:readOnly="true" ma:showField="OverallHandbackStatus" ma:web="905c3888-6285-45d0-bd76-60a9ac2d738c">
      <xsd:simpleType>
        <xsd:restriction base="dms:Lookup"/>
      </xsd:simpleType>
    </xsd:element>
    <xsd:element name="LocOverallLocStatusLookup" ma:index="77" nillable="true" ma:displayName="Loc Overall Localize Status" ma:default="" ma:list="{B1EFB310-8154-40EE-A736-2FF11D479763}" ma:internalName="LocOverallLocStatusLookup" ma:readOnly="true" ma:showField="OverallLocStatus" ma:web="905c3888-6285-45d0-bd76-60a9ac2d738c">
      <xsd:simpleType>
        <xsd:restriction base="dms:Lookup"/>
      </xsd:simpleType>
    </xsd:element>
    <xsd:element name="LocOverallPreviewStatusLookup" ma:index="78" nillable="true" ma:displayName="Loc Overall Preview Status" ma:default="" ma:list="{B1EFB310-8154-40EE-A736-2FF11D479763}" ma:internalName="LocOverallPreviewStatusLookup" ma:readOnly="true" ma:showField="OverallPreviewStatus" ma:web="905c3888-6285-45d0-bd76-60a9ac2d738c">
      <xsd:simpleType>
        <xsd:restriction base="dms:Lookup"/>
      </xsd:simpleType>
    </xsd:element>
    <xsd:element name="LocOverallPublishStatusLookup" ma:index="79" nillable="true" ma:displayName="Loc Overall Publish Status" ma:default="" ma:list="{B1EFB310-8154-40EE-A736-2FF11D479763}" ma:internalName="LocOverallPublishStatusLookup" ma:readOnly="true" ma:showField="OverallPublishStatus" ma:web="905c3888-6285-45d0-bd76-60a9ac2d738c">
      <xsd:simpleType>
        <xsd:restriction base="dms:Lookup"/>
      </xsd:simpleType>
    </xsd:element>
    <xsd:element name="IntlLocPriority" ma:index="80" nillable="true" ma:displayName="Loc Priority" ma:default="" ma:internalName="IntlLocPriority" ma:readOnly="false">
      <xsd:simpleType>
        <xsd:restriction base="dms:Unknown"/>
      </xsd:simpleType>
    </xsd:element>
    <xsd:element name="LocProcessedForHandoffsLookup" ma:index="81" nillable="true" ma:displayName="Loc Processed For Handoffs" ma:default="" ma:list="{B1EFB310-8154-40EE-A736-2FF11D479763}" ma:internalName="LocProcessedForHandoffsLookup" ma:readOnly="true" ma:showField="ProcessedForHandoffs" ma:web="905c3888-6285-45d0-bd76-60a9ac2d738c">
      <xsd:simpleType>
        <xsd:restriction base="dms:Lookup"/>
      </xsd:simpleType>
    </xsd:element>
    <xsd:element name="LocProcessedForMarketsLookup" ma:index="82" nillable="true" ma:displayName="Loc Processed For Markets" ma:default="" ma:list="{B1EFB310-8154-40EE-A736-2FF11D479763}" ma:internalName="LocProcessedForMarketsLookup" ma:readOnly="true" ma:showField="ProcessedForMarkets" ma:web="905c3888-6285-45d0-bd76-60a9ac2d738c">
      <xsd:simpleType>
        <xsd:restriction base="dms:Lookup"/>
      </xsd:simpleType>
    </xsd:element>
    <xsd:element name="LocPublishedDependentAssetsLookup" ma:index="83" nillable="true" ma:displayName="Loc Published Dependent Assets" ma:default="" ma:list="{B1EFB310-8154-40EE-A736-2FF11D479763}" ma:internalName="LocPublishedDependentAssetsLookup" ma:readOnly="true" ma:showField="PublishedDependentAssets" ma:web="905c3888-6285-45d0-bd76-60a9ac2d738c">
      <xsd:simpleType>
        <xsd:restriction base="dms:Lookup"/>
      </xsd:simpleType>
    </xsd:element>
    <xsd:element name="LocPublishedLinkedAssetsLookup" ma:index="84" nillable="true" ma:displayName="Loc Published Linked Assets" ma:default="" ma:list="{B1EFB310-8154-40EE-A736-2FF11D479763}" ma:internalName="LocPublishedLinkedAssetsLookup" ma:readOnly="true" ma:showField="PublishedLinkedAssets" ma:web="905c3888-6285-45d0-bd76-60a9ac2d738c">
      <xsd:simpleType>
        <xsd:restriction base="dms:Lookup"/>
      </xsd:simpleType>
    </xsd:element>
    <xsd:element name="LocRecommendedHandoff" ma:index="85" nillable="true" ma:displayName="Loc Recommended Handoff" ma:default="" ma:indexed="true" ma:internalName="LocRecommendedHandoff" ma:readOnly="false">
      <xsd:simpleType>
        <xsd:restriction base="dms:Text"/>
      </xsd:simpleType>
    </xsd:element>
    <xsd:element name="LocalizationTagsTaxHTField0" ma:index="87" nillable="true" ma:taxonomy="true" ma:internalName="LocalizationTagsTaxHTField0" ma:taxonomyFieldName="LocalizationTags" ma:displayName="Localization Tags" ma:readOnly="false" ma:default="" ma:fieldId="{726a1ece-9747-4e7d-9113-bc8295fd2c1d}" ma:taxonomyMulti="true" ma:sspId="8f79753a-75d3-41f5-8ca3-40b843941b4f" ma:termSetId="5b7703a5-8e8b-4b58-8b31-1cea35331da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MachineTranslated" ma:index="88" nillable="true" ma:displayName="Machine Translated" ma:default="" ma:internalName="MachineTranslated" ma:readOnly="false">
      <xsd:simpleType>
        <xsd:restriction base="dms:Boolean"/>
      </xsd:simpleType>
    </xsd:element>
    <xsd:element name="Manager" ma:index="89" nillable="true" ma:displayName="Manager" ma:hidden="true" ma:internalName="Manager" ma:readOnly="false">
      <xsd:simpleType>
        <xsd:restriction base="dms:Text"/>
      </xsd:simpleType>
    </xsd:element>
    <xsd:element name="Markets" ma:index="90" nillable="true" ma:displayName="Markets" ma:default="" ma:description="Leave blank to show in all markets" ma:list="{85FC5A58-2851-427E-95B4-AFAF1C73BA4D}" ma:internalName="Markets" ma:readOnly="false" ma:showField="MarketName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Milestone" ma:index="91" nillable="true" ma:displayName="Milestone" ma:default="" ma:internalName="Milestone" ma:readOnly="false">
      <xsd:simpleType>
        <xsd:restriction base="dms:Unknown"/>
      </xsd:simpleType>
    </xsd:element>
    <xsd:element name="TPNamespace" ma:index="94" nillable="true" ma:displayName="Namespace" ma:default="" ma:internalName="TPNamespace">
      <xsd:simpleType>
        <xsd:restriction base="dms:Text"/>
      </xsd:simpleType>
    </xsd:element>
    <xsd:element name="NumericId" ma:index="95" nillable="true" ma:displayName="Numeric ID" ma:default="" ma:indexed="true" ma:internalName="NumericId" ma:readOnly="false">
      <xsd:simpleType>
        <xsd:restriction base="dms:Number"/>
      </xsd:simpleType>
    </xsd:element>
    <xsd:element name="NumOfRatingsLookup" ma:index="96" nillable="true" ma:displayName="NumOfRatings" ma:default="" ma:list="{7F948D4D-A57E-4E3F-87E9-0ABE9F2D748E}" ma:internalName="NumOfRatingsLookup" ma:readOnly="true" ma:showField="NumOfRatings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OOCacheId" ma:index="97" nillable="true" ma:displayName="OOCacheId" ma:internalName="OOCacheId" ma:readOnly="false">
      <xsd:simpleType>
        <xsd:restriction base="dms:Text"/>
      </xsd:simpleType>
    </xsd:element>
    <xsd:element name="OpenTemplate" ma:index="98" nillable="true" ma:displayName="Open Template" ma:default="true" ma:internalName="OpenTemplate">
      <xsd:simpleType>
        <xsd:restriction base="dms:Boolean"/>
      </xsd:simpleType>
    </xsd:element>
    <xsd:element name="OriginAsset" ma:index="99" nillable="true" ma:displayName="Origin Asset" ma:default="" ma:internalName="OriginAsset" ma:readOnly="false">
      <xsd:simpleType>
        <xsd:restriction base="dms:Text"/>
      </xsd:simpleType>
    </xsd:element>
    <xsd:element name="OriginalRelease" ma:index="100" nillable="true" ma:displayName="Original Release" ma:default="15" ma:internalName="OriginalRelease" ma:readOnly="false">
      <xsd:simpleType>
        <xsd:restriction base="dms:Choice">
          <xsd:enumeration value="14"/>
          <xsd:enumeration value="15"/>
          <xsd:enumeration value="16"/>
        </xsd:restriction>
      </xsd:simpleType>
    </xsd:element>
    <xsd:element name="OriginalSourceMarket" ma:index="101" nillable="true" ma:displayName="Original Source Market Group" ma:default="" ma:internalName="OriginalSourceMarket" ma:readOnly="false">
      <xsd:simpleType>
        <xsd:restriction base="dms:Text"/>
      </xsd:simpleType>
    </xsd:element>
    <xsd:element name="OutputCachingOn" ma:index="102" nillable="true" ma:displayName="Output Caching" ma:default="true" ma:hidden="true" ma:internalName="OutputCachingOn" ma:readOnly="false">
      <xsd:simpleType>
        <xsd:restriction base="dms:Boolean"/>
      </xsd:simpleType>
    </xsd:element>
    <xsd:element name="ParentAssetId" ma:index="103" nillable="true" ma:displayName="Parent Asset Id" ma:default="" ma:internalName="ParentAssetId" ma:readOnly="false">
      <xsd:simpleType>
        <xsd:restriction base="dms:Text"/>
      </xsd:simpleType>
    </xsd:element>
    <xsd:element name="PlannedPubDate" ma:index="104" nillable="true" ma:displayName="Planned Publish Date" ma:default="" ma:indexed="true" ma:internalName="PlannedPubDate" ma:readOnly="false">
      <xsd:simpleType>
        <xsd:restriction base="dms:DateTime"/>
      </xsd:simpleType>
    </xsd:element>
    <xsd:element name="PolicheckWords" ma:index="105" nillable="true" ma:displayName="Policheck Words" ma:default="" ma:internalName="PolicheckWords" ma:readOnly="false">
      <xsd:simpleType>
        <xsd:restriction base="dms:Text"/>
      </xsd:simpleType>
    </xsd:element>
    <xsd:element name="BusinessGroup" ma:index="106" nillable="true" ma:displayName="Product Division Owner" ma:default="" ma:internalName="BusinessGroup" ma:readOnly="false">
      <xsd:simpleType>
        <xsd:restriction base="dms:Unknown"/>
      </xsd:simpleType>
    </xsd:element>
    <xsd:element name="UAProjectedTotalWords" ma:index="107" nillable="true" ma:displayName="Projected Word Count" ma:default="" ma:internalName="UAProjectedTotalWords" ma:readOnly="false">
      <xsd:simpleType>
        <xsd:restriction base="dms:Unknown"/>
      </xsd:simpleType>
    </xsd:element>
    <xsd:element name="Provider" ma:index="108" nillable="true" ma:displayName="Provider" ma:default="" ma:internalName="Provider" ma:readOnly="false">
      <xsd:simpleType>
        <xsd:restriction base="dms:Unknown"/>
      </xsd:simpleType>
    </xsd:element>
    <xsd:element name="Providers" ma:index="109" nillable="true" ma:displayName="Providers" ma:default="" ma:internalName="Providers">
      <xsd:simpleType>
        <xsd:restriction base="dms:Unknown"/>
      </xsd:simpleType>
    </xsd:element>
    <xsd:element name="PublishStatusLookup" ma:index="110" nillable="true" ma:displayName="Publish Status" ma:default="" ma:list="{7F948D4D-A57E-4E3F-87E9-0ABE9F2D748E}" ma:internalName="PublishStatusLookup" ma:readOnly="false" ma:showField="PublishStatus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PublishTargets" ma:index="111" nillable="true" ma:displayName="Publish Target" ma:default="OfficeOnlineVNext" ma:internalName="PublishTargets" ma:readOnly="false">
      <xsd:simpleType>
        <xsd:restriction base="dms:Unknown"/>
      </xsd:simpleType>
    </xsd:element>
    <xsd:element name="RecommendationsModifier" ma:index="112" nillable="true" ma:displayName="Recommendations Modifier" ma:default="" ma:internalName="RecommendationsModifier" ma:readOnly="false">
      <xsd:simpleType>
        <xsd:restriction base="dms:Number"/>
      </xsd:simpleType>
    </xsd:element>
    <xsd:element name="ArtSampleDocs" ma:index="113" nillable="true" ma:displayName="Sample Docs" ma:default="" ma:hidden="true" ma:internalName="ArtSampleDocs" ma:readOnly="false">
      <xsd:simpleType>
        <xsd:restriction base="dms:Text"/>
      </xsd:simpleType>
    </xsd:element>
    <xsd:element name="ScenarioTagsTaxHTField0" ma:index="115" nillable="true" ma:taxonomy="true" ma:internalName="ScenarioTagsTaxHTField0" ma:taxonomyFieldName="ScenarioTags" ma:displayName="Scenarios" ma:readOnly="false" ma:default="" ma:fieldId="{cba8db9d-85f8-47e4-85af-460188139726}" ma:taxonomyMulti="true" ma:sspId="8f79753a-75d3-41f5-8ca3-40b843941b4f" ma:termSetId="4b7d5f16-e2f2-4fc0-bab3-6e8b931e57d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ShowIn" ma:index="117" nillable="true" ma:displayName="Show In" ma:default="Show everywhere" ma:internalName="ShowIn" ma:readOnly="false">
      <xsd:simpleType>
        <xsd:restriction base="dms:Choice">
          <xsd:enumeration value="Hide on web"/>
          <xsd:enumeration value="On Web no search"/>
          <xsd:enumeration value="Show everywhere"/>
          <xsd:enumeration value="Special use only"/>
        </xsd:restriction>
      </xsd:simpleType>
    </xsd:element>
    <xsd:element name="SourceTitle" ma:index="118" nillable="true" ma:displayName="Source Title" ma:default="" ma:indexed="true" ma:internalName="SourceTitle" ma:readOnly="false">
      <xsd:simpleType>
        <xsd:restriction base="dms:Text"/>
      </xsd:simpleType>
    </xsd:element>
    <xsd:element name="CSXSubmissionDate" ma:index="119" nillable="true" ma:displayName="Submission Date" ma:default="" ma:internalName="CSXSubmissionDate" ma:readOnly="false">
      <xsd:simpleType>
        <xsd:restriction base="dms:DateTime"/>
      </xsd:simpleType>
    </xsd:element>
    <xsd:element name="SubmitterId" ma:index="120" nillable="true" ma:displayName="Submitter ID" ma:default="" ma:internalName="SubmitterId" ma:readOnly="false">
      <xsd:simpleType>
        <xsd:restriction base="dms:Text"/>
      </xsd:simpleType>
    </xsd:element>
    <xsd:element name="TaxCatchAll" ma:index="121" nillable="true" ma:displayName="Taxonomy Catch All Column" ma:hidden="true" ma:list="{72161567-9e55-4761-b65c-3c8149bfc4ca}" ma:internalName="TaxCatchAll" ma:showField="CatchAllData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22" nillable="true" ma:displayName="Taxonomy Catch All Column1" ma:hidden="true" ma:list="{72161567-9e55-4761-b65c-3c8149bfc4ca}" ma:internalName="TaxCatchAllLabel" ma:readOnly="true" ma:showField="CatchAllDataLabel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emplateStatus" ma:index="123" nillable="true" ma:displayName="Template Status" ma:default="" ma:internalName="TemplateStatus">
      <xsd:simpleType>
        <xsd:restriction base="dms:Unknown"/>
      </xsd:simpleType>
    </xsd:element>
    <xsd:element name="TemplateTemplateType" ma:index="124" nillable="true" ma:displayName="Template Type" ma:default="" ma:internalName="TemplateTemplateType">
      <xsd:simpleType>
        <xsd:restriction base="dms:Unknown"/>
      </xsd:simpleType>
    </xsd:element>
    <xsd:element name="ThumbnailAssetId" ma:index="125" nillable="true" ma:displayName="Thumbnail Image Asset" ma:default="" ma:internalName="ThumbnailAssetId" ma:readOnly="false">
      <xsd:simpleType>
        <xsd:restriction base="dms:Text"/>
      </xsd:simpleType>
    </xsd:element>
    <xsd:element name="TimesCloned" ma:index="126" nillable="true" ma:displayName="Times Cloned" ma:default="" ma:internalName="TimesCloned" ma:readOnly="false">
      <xsd:simpleType>
        <xsd:restriction base="dms:Number"/>
      </xsd:simpleType>
    </xsd:element>
    <xsd:element name="TrustLevel" ma:index="128" nillable="true" ma:displayName="Trust Level" ma:default="1 Microsoft Managed Content" ma:internalName="TrustLevel" ma:readOnly="false">
      <xsd:simpleType>
        <xsd:restriction base="dms:Unknown"/>
      </xsd:simpleType>
    </xsd:element>
    <xsd:element name="UALocComments" ma:index="129" nillable="true" ma:displayName="UA Loc Comments" ma:default="" ma:internalName="UALocComments" ma:readOnly="false">
      <xsd:simpleType>
        <xsd:restriction base="dms:Note"/>
      </xsd:simpleType>
    </xsd:element>
    <xsd:element name="UALocRecommendation" ma:index="130" nillable="true" ma:displayName="UA Loc Recommendation" ma:default="Localize" ma:internalName="UALocRecommendation" ma:readOnly="false">
      <xsd:simpleType>
        <xsd:restriction base="dms:Choice">
          <xsd:enumeration value="Localize"/>
          <xsd:enumeration value="Never Localize"/>
          <xsd:enumeration value="Priority Localize"/>
        </xsd:restriction>
      </xsd:simpleType>
    </xsd:element>
    <xsd:element name="UANotes" ma:index="131" nillable="true" ma:displayName="UA Notes" ma:default="" ma:internalName="UANotes" ma:readOnly="false">
      <xsd:simpleType>
        <xsd:restriction base="dms:Note"/>
      </xsd:simpleType>
    </xsd:element>
    <xsd:element name="TPAppVersion" ma:index="132" nillable="true" ma:displayName="Version" ma:default="" ma:internalName="TPAppVersion">
      <xsd:simpleType>
        <xsd:restriction base="dms:Text"/>
      </xsd:simpleType>
    </xsd:element>
    <xsd:element name="VoteCount" ma:index="133" nillable="true" ma:displayName="Vote Count" ma:default="" ma:internalName="VoteCount" ma:readOnly="fals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0b64b53-fba7-43ca-b952-90e5e74773dd" elementFormDefault="qualified">
    <xsd:import namespace="http://schemas.microsoft.com/office/2006/documentManagement/types"/>
    <xsd:import namespace="http://schemas.microsoft.com/office/infopath/2007/PartnerControls"/>
    <xsd:element name="Description0" ma:index="134" nillable="true" ma:displayName="Description" ma:internalName="Description0">
      <xsd:simpleType>
        <xsd:restriction base="dms:Note"/>
      </xsd:simpleType>
    </xsd:element>
    <xsd:element name="Component0" ma:index="135" nillable="true" ma:displayName="Component" ma:internalName="Component0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22" ma:displayName="Content Type"/>
        <xsd:element ref="dc:title" minOccurs="0" maxOccurs="1" ma:index="127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B1D75D6-02AF-4240-9225-8D50C47DA1D0}"/>
</file>

<file path=customXml/itemProps2.xml><?xml version="1.0" encoding="utf-8"?>
<ds:datastoreItem xmlns:ds="http://schemas.openxmlformats.org/officeDocument/2006/customXml" ds:itemID="{3C0249ED-8F06-41E2-B83E-860D0A8A52AE}"/>
</file>

<file path=customXml/itemProps3.xml><?xml version="1.0" encoding="utf-8"?>
<ds:datastoreItem xmlns:ds="http://schemas.openxmlformats.org/officeDocument/2006/customXml" ds:itemID="{A1364AAE-48E8-4F32-8B7C-0BE323A3F5B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6</vt:i4>
      </vt:variant>
    </vt:vector>
  </HeadingPairs>
  <TitlesOfParts>
    <vt:vector size="8" baseType="lpstr">
      <vt:lpstr>每月大学预算</vt:lpstr>
      <vt:lpstr>chart_calcs</vt:lpstr>
      <vt:lpstr>income_percent_selected_period</vt:lpstr>
      <vt:lpstr>PercentsExpense</vt:lpstr>
      <vt:lpstr>PercentsIncome</vt:lpstr>
      <vt:lpstr>Periods</vt:lpstr>
      <vt:lpstr>ScrollBarValue</vt:lpstr>
      <vt:lpstr>SelectedStartMonth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Matthew Hosek</dc:creator>
  <cp:lastModifiedBy>Administrator</cp:lastModifiedBy>
  <cp:lastPrinted>2012-06-20T18:08:58Z</cp:lastPrinted>
  <dcterms:created xsi:type="dcterms:W3CDTF">2012-06-20T17:57:24Z</dcterms:created>
  <dcterms:modified xsi:type="dcterms:W3CDTF">2013-01-09T09:02:47Z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0x0101008D8B3457135D67479991424C624CBB4704002439B9162B2E88498A324BEFF3815221</vt:lpwstr>
  </property>
  <property fmtid="{D5CDD505-2E9C-101B-9397-08002B2CF9AE}" pid="3" name="HiddenCategoryTags">
    <vt:lpwstr/>
  </property>
  <property fmtid="{D5CDD505-2E9C-101B-9397-08002B2CF9AE}" pid="4" name="InternalTags">
    <vt:lpwstr/>
  </property>
  <property fmtid="{D5CDD505-2E9C-101B-9397-08002B2CF9AE}" pid="5" name="FeatureTags">
    <vt:lpwstr/>
  </property>
  <property fmtid="{D5CDD505-2E9C-101B-9397-08002B2CF9AE}" pid="6" name="LocalizationTags">
    <vt:lpwstr/>
  </property>
  <property fmtid="{D5CDD505-2E9C-101B-9397-08002B2CF9AE}" pid="7" name="CategoryTags">
    <vt:lpwstr/>
  </property>
  <property fmtid="{D5CDD505-2E9C-101B-9397-08002B2CF9AE}" pid="8" name="CategoryTagsTaxHTField0">
    <vt:lpwstr/>
  </property>
  <property fmtid="{D5CDD505-2E9C-101B-9397-08002B2CF9AE}" pid="9" name="CampaignTags">
    <vt:lpwstr/>
  </property>
  <property fmtid="{D5CDD505-2E9C-101B-9397-08002B2CF9AE}" pid="10" name="HiddenCategoryTagsTaxHTField0">
    <vt:lpwstr/>
  </property>
  <property fmtid="{D5CDD505-2E9C-101B-9397-08002B2CF9AE}" pid="11" name="ScenarioTags">
    <vt:lpwstr/>
  </property>
</Properties>
</file>