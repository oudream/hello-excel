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zh-CN\"/>
    </mc:Choice>
  </mc:AlternateContent>
  <xr:revisionPtr revIDLastSave="0" documentId="13_ncr:1_{B9AFB518-9967-4BC6-B21D-356D9F734678}" xr6:coauthVersionLast="36" xr6:coauthVersionMax="36" xr10:uidLastSave="{00000000-0000-0000-0000-000000000000}"/>
  <bookViews>
    <workbookView xWindow="0" yWindow="0" windowWidth="28800" windowHeight="12000" tabRatio="504" xr2:uid="{00000000-000D-0000-FFFF-FFFF00000000}"/>
  </bookViews>
  <sheets>
    <sheet name="学生列表" sheetId="2" r:id="rId1"/>
    <sheet name="班级名单" sheetId="1" r:id="rId2"/>
    <sheet name="学生详细信息" sheetId="5" r:id="rId3"/>
  </sheets>
  <definedNames>
    <definedName name="_xlnm.Print_Titles" localSheetId="0">学生列表!$1:$4</definedName>
    <definedName name="标题1">学生[[#Headers],[学生姓名]]</definedName>
    <definedName name="标题2">学生名单[[#Headers],[学生姓名]]</definedName>
    <definedName name="行标题区域1..D13">学生详细信息!$C$5</definedName>
    <definedName name="行标题区域1..D6">班级名单!$C$4</definedName>
    <definedName name="行标题区域2..F5">班级名单!$E$4</definedName>
    <definedName name="学生列表">学生[学生姓名]</definedName>
    <definedName name="学生姓名">学生详细信息!$D$5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3" i="5" l="1"/>
  <c r="D12" i="5"/>
  <c r="D11" i="5"/>
  <c r="D10" i="5"/>
  <c r="D9" i="5"/>
  <c r="D8" i="5"/>
  <c r="D7" i="5"/>
  <c r="D6" i="5"/>
  <c r="F12" i="1" l="1"/>
  <c r="F11" i="1"/>
  <c r="F10" i="1"/>
  <c r="F9" i="1"/>
  <c r="E12" i="1"/>
  <c r="E11" i="1"/>
  <c r="E10" i="1"/>
  <c r="E9" i="1"/>
  <c r="D12" i="1"/>
  <c r="D11" i="1"/>
  <c r="D10" i="1"/>
  <c r="D9" i="1"/>
  <c r="D6" i="1" l="1"/>
</calcChain>
</file>

<file path=xl/sharedStrings.xml><?xml version="1.0" encoding="utf-8"?>
<sst xmlns="http://schemas.openxmlformats.org/spreadsheetml/2006/main" count="86" uniqueCount="40">
  <si>
    <t>学生列表</t>
  </si>
  <si>
    <t>学生姓名</t>
  </si>
  <si>
    <t>姓名 1</t>
  </si>
  <si>
    <t>姓名 2</t>
  </si>
  <si>
    <t>姓名 3</t>
  </si>
  <si>
    <t>姓名 4</t>
  </si>
  <si>
    <t>电子邮件</t>
  </si>
  <si>
    <t>电子邮件地址</t>
  </si>
  <si>
    <t>转到班级花名册</t>
  </si>
  <si>
    <t>转到学生详细信息</t>
  </si>
  <si>
    <t>住宅电话</t>
  </si>
  <si>
    <t>移动电话</t>
  </si>
  <si>
    <t>出生日期</t>
  </si>
  <si>
    <t>日期</t>
  </si>
  <si>
    <t>紧急联系人</t>
  </si>
  <si>
    <t>联系人 1</t>
  </si>
  <si>
    <t>联系人 2</t>
  </si>
  <si>
    <t>联系人 3</t>
  </si>
  <si>
    <t>联系人 4</t>
  </si>
  <si>
    <t>紧急联系电话</t>
  </si>
  <si>
    <t>医师</t>
  </si>
  <si>
    <t>医师 1</t>
  </si>
  <si>
    <t>医师 2</t>
  </si>
  <si>
    <t>医师 3</t>
  </si>
  <si>
    <t>医师 4</t>
  </si>
  <si>
    <t>医师电话</t>
  </si>
  <si>
    <t xml:space="preserve">  </t>
  </si>
  <si>
    <t>提示：若要添加更多的学生，请在表格的最后一个单元格中按 Tab 键。</t>
  </si>
  <si>
    <t>班级花名册</t>
  </si>
  <si>
    <t>课程</t>
  </si>
  <si>
    <t>讲师</t>
  </si>
  <si>
    <t>已注册的学生数</t>
  </si>
  <si>
    <t>图形设计学院</t>
  </si>
  <si>
    <t>课程名称</t>
  </si>
  <si>
    <t>讲师 1</t>
  </si>
  <si>
    <t>转到学生列表</t>
  </si>
  <si>
    <t>开始日期</t>
  </si>
  <si>
    <t>结束日期</t>
  </si>
  <si>
    <t>学生详细信息</t>
  </si>
  <si>
    <t>提示：从单元格 D5 的下拉列表中选择一个学生来更新学生详细信息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</si>
</sst>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1" formatCode="_ * #,##0_ ;_ * \-#,##0_ ;_ * &quot;-&quot;_ ;_ @_ "/>
    <numFmt numFmtId="43" formatCode="_ * #,##0.00_ ;_ * \-#,##0.00_ ;_ * &quot;-&quot;??_ ;_ @_ "/>
    <numFmt numFmtId="176" formatCode="_ &quot;₹&quot;\ * #,##0_ ;_ &quot;₹&quot;\ * \-#,##0_ ;_ &quot;₹&quot;\ * &quot;-&quot;_ ;_ @_ "/>
    <numFmt numFmtId="177" formatCode="_ &quot;₹&quot;\ * #,##0.00_ ;_ &quot;₹&quot;\ * \-#,##0.00_ ;_ &quot;₹&quot;\ * &quot;-&quot;??_ ;_ @_ "/>
    <numFmt numFmtId="178" formatCode="@\ \ *-"/>
    <numFmt numFmtId="179" formatCode="[&lt;=9999999]###\-####;\(###\)\ ###\-####"/>
    <numFmt numFmtId="180" formatCode="[DBNum1][$-804]m&quot;月&quot;d&quot;日&quot;;@"/>
  </numFmts>
  <fonts count="26" x14ac:knownFonts="1">
    <font>
      <sz val="11"/>
      <color theme="1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sz val="11"/>
      <color rgb="FF9C0006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i/>
      <sz val="11"/>
      <color theme="1" tint="0.34998626667073579"/>
      <name val="Microsoft YaHei UI"/>
      <family val="2"/>
      <charset val="134"/>
    </font>
    <font>
      <u/>
      <sz val="11"/>
      <color theme="11"/>
      <name val="Microsoft YaHei UI"/>
      <family val="2"/>
      <charset val="134"/>
    </font>
    <font>
      <sz val="11"/>
      <color rgb="FF006100"/>
      <name val="Microsoft YaHei UI"/>
      <family val="2"/>
      <charset val="134"/>
    </font>
    <font>
      <b/>
      <sz val="15"/>
      <color theme="3"/>
      <name val="Microsoft YaHei UI"/>
      <family val="2"/>
      <charset val="134"/>
    </font>
    <font>
      <b/>
      <sz val="13"/>
      <color theme="3"/>
      <name val="Microsoft YaHei UI"/>
      <family val="2"/>
      <charset val="134"/>
    </font>
    <font>
      <b/>
      <sz val="11"/>
      <color theme="3"/>
      <name val="Microsoft YaHei UI"/>
      <family val="2"/>
      <charset val="134"/>
    </font>
    <font>
      <u/>
      <sz val="11"/>
      <color theme="4" tint="-0.499984740745262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sz val="11"/>
      <color rgb="FF9C5700"/>
      <name val="Microsoft YaHei UI"/>
      <family val="2"/>
      <charset val="134"/>
    </font>
    <font>
      <sz val="11"/>
      <color theme="1" tint="0.34998626667073579"/>
      <name val="Microsoft YaHei UI"/>
      <family val="2"/>
      <charset val="134"/>
    </font>
    <font>
      <b/>
      <sz val="11"/>
      <color rgb="FF3F3F3F"/>
      <name val="Microsoft YaHei UI"/>
      <family val="2"/>
      <charset val="134"/>
    </font>
    <font>
      <sz val="18"/>
      <color theme="3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b/>
      <sz val="28"/>
      <color theme="0"/>
      <name val="Microsoft YaHei UI"/>
      <family val="2"/>
      <charset val="134"/>
    </font>
    <font>
      <u/>
      <sz val="11"/>
      <color theme="0"/>
      <name val="Microsoft YaHei UI"/>
      <family val="2"/>
      <charset val="134"/>
    </font>
    <font>
      <b/>
      <sz val="11"/>
      <color theme="1" tint="0.34998626667073579"/>
      <name val="Microsoft YaHei UI"/>
      <family val="2"/>
      <charset val="134"/>
    </font>
    <font>
      <b/>
      <sz val="16"/>
      <color theme="4" tint="-0.499984740745262"/>
      <name val="Microsoft YaHei UI"/>
      <family val="2"/>
      <charset val="134"/>
    </font>
    <font>
      <b/>
      <sz val="11"/>
      <color theme="4" tint="-0.499984740745262"/>
      <name val="Microsoft YaHei UI"/>
      <family val="2"/>
      <charset val="134"/>
    </font>
    <font>
      <sz val="9"/>
      <name val="Microsoft YaHei UI"/>
      <family val="2"/>
      <charset val="134"/>
    </font>
  </fonts>
  <fills count="3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thick">
        <color theme="4" tint="-0.499984740745262"/>
      </left>
      <right/>
      <top style="thick">
        <color theme="4" tint="-0.499984740745262"/>
      </top>
      <bottom/>
      <diagonal/>
    </border>
    <border>
      <left/>
      <right/>
      <top style="thick">
        <color theme="4" tint="-0.499984740745262"/>
      </top>
      <bottom/>
      <diagonal/>
    </border>
    <border>
      <left/>
      <right style="thick">
        <color theme="4" tint="-0.499984740745262"/>
      </right>
      <top style="thick">
        <color theme="4" tint="-0.499984740745262"/>
      </top>
      <bottom/>
      <diagonal/>
    </border>
    <border>
      <left style="thick">
        <color theme="4" tint="-0.499984740745262"/>
      </left>
      <right/>
      <top/>
      <bottom/>
      <diagonal/>
    </border>
    <border>
      <left/>
      <right style="thick">
        <color theme="4" tint="-0.499984740745262"/>
      </right>
      <top/>
      <bottom/>
      <diagonal/>
    </border>
    <border>
      <left style="thick">
        <color theme="4" tint="-0.499984740745262"/>
      </left>
      <right/>
      <top/>
      <bottom style="thick">
        <color theme="4" tint="-0.499984740745262"/>
      </bottom>
      <diagonal/>
    </border>
    <border>
      <left/>
      <right style="thick">
        <color theme="4" tint="-0.499984740745262"/>
      </right>
      <top/>
      <bottom style="thick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 wrapText="1"/>
    </xf>
    <xf numFmtId="0" fontId="13" fillId="3" borderId="1" applyNumberFormat="0" applyProtection="0">
      <alignment wrapText="1"/>
    </xf>
    <xf numFmtId="0" fontId="4" fillId="2" borderId="1" applyNumberFormat="0" applyAlignment="0" applyProtection="0"/>
    <xf numFmtId="178" fontId="6" fillId="0" borderId="3" applyFill="0" applyAlignment="0" applyProtection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43" fontId="1" fillId="0" borderId="0" applyFill="0" applyBorder="0" applyAlignment="0" applyProtection="0"/>
    <xf numFmtId="41" fontId="1" fillId="0" borderId="0" applyFill="0" applyBorder="0" applyAlignment="0" applyProtection="0"/>
    <xf numFmtId="177" fontId="1" fillId="0" borderId="0" applyFill="0" applyBorder="0" applyAlignment="0" applyProtection="0"/>
    <xf numFmtId="176" fontId="1" fillId="0" borderId="0" applyFill="0" applyBorder="0" applyAlignment="0" applyProtection="0"/>
    <xf numFmtId="9" fontId="1" fillId="0" borderId="0" applyFill="0" applyBorder="0" applyAlignment="0" applyProtection="0"/>
    <xf numFmtId="0" fontId="9" fillId="0" borderId="4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" fillId="6" borderId="2" applyNumberFormat="0" applyAlignment="0" applyProtection="0"/>
    <xf numFmtId="0" fontId="18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8" fillId="7" borderId="0" applyNumberFormat="0" applyBorder="0" applyAlignment="0" applyProtection="0"/>
    <xf numFmtId="0" fontId="3" fillId="8" borderId="0" applyNumberFormat="0" applyBorder="0" applyAlignment="0" applyProtection="0"/>
    <xf numFmtId="0" fontId="14" fillId="9" borderId="0" applyNumberFormat="0" applyBorder="0" applyAlignment="0" applyProtection="0"/>
    <xf numFmtId="0" fontId="16" fillId="2" borderId="16" applyNumberFormat="0" applyAlignment="0" applyProtection="0"/>
    <xf numFmtId="0" fontId="4" fillId="0" borderId="17" applyNumberFormat="0" applyFill="0" applyAlignment="0" applyProtection="0"/>
    <xf numFmtId="0" fontId="5" fillId="10" borderId="18" applyNumberFormat="0" applyAlignment="0" applyProtection="0"/>
    <xf numFmtId="0" fontId="19" fillId="0" borderId="0" applyNumberFormat="0" applyFill="0" applyBorder="0" applyAlignment="0" applyProtection="0"/>
    <xf numFmtId="0" fontId="2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60">
    <xf numFmtId="0" fontId="0" fillId="0" borderId="0" xfId="0">
      <alignment vertical="center" wrapText="1"/>
    </xf>
    <xf numFmtId="0" fontId="0" fillId="0" borderId="0" xfId="0" applyBorder="1">
      <alignment vertical="center" wrapText="1"/>
    </xf>
    <xf numFmtId="179" fontId="0" fillId="0" borderId="0" xfId="0" applyNumberFormat="1" applyFont="1" applyFill="1" applyBorder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center" indent="1"/>
    </xf>
    <xf numFmtId="0" fontId="0" fillId="0" borderId="0" xfId="0" applyFont="1" applyBorder="1" applyAlignment="1">
      <alignment horizontal="left" vertical="center" indent="1"/>
    </xf>
    <xf numFmtId="179" fontId="0" fillId="0" borderId="0" xfId="0" applyNumberFormat="1" applyFont="1" applyBorder="1" applyAlignment="1">
      <alignment horizontal="left" vertical="center"/>
    </xf>
    <xf numFmtId="0" fontId="0" fillId="0" borderId="8" xfId="0" applyBorder="1">
      <alignment vertical="center" wrapText="1"/>
    </xf>
    <xf numFmtId="0" fontId="0" fillId="0" borderId="12" xfId="0" applyBorder="1">
      <alignment vertical="center" wrapText="1"/>
    </xf>
    <xf numFmtId="0" fontId="0" fillId="0" borderId="12" xfId="0" applyFont="1" applyBorder="1">
      <alignment vertical="center" wrapText="1"/>
    </xf>
    <xf numFmtId="0" fontId="0" fillId="0" borderId="11" xfId="0" applyBorder="1" applyAlignment="1">
      <alignment vertical="center"/>
    </xf>
    <xf numFmtId="0" fontId="0" fillId="0" borderId="11" xfId="0" applyBorder="1">
      <alignment vertical="center" wrapText="1"/>
    </xf>
    <xf numFmtId="0" fontId="0" fillId="0" borderId="12" xfId="0" applyBorder="1" applyAlignment="1">
      <alignment vertical="center"/>
    </xf>
    <xf numFmtId="0" fontId="0" fillId="0" borderId="12" xfId="0" applyNumberFormat="1" applyFont="1" applyBorder="1" applyAlignment="1">
      <alignment vertical="center"/>
    </xf>
    <xf numFmtId="0" fontId="0" fillId="5" borderId="0" xfId="0" applyFont="1" applyFill="1" applyBorder="1" applyAlignment="1">
      <alignment vertical="center"/>
    </xf>
    <xf numFmtId="0" fontId="0" fillId="0" borderId="0" xfId="0" applyFont="1">
      <alignment vertical="center" wrapText="1"/>
    </xf>
    <xf numFmtId="0" fontId="0" fillId="0" borderId="8" xfId="0" applyFont="1" applyBorder="1">
      <alignment vertical="center" wrapText="1"/>
    </xf>
    <xf numFmtId="0" fontId="0" fillId="0" borderId="11" xfId="0" applyFont="1" applyBorder="1">
      <alignment vertical="center" wrapText="1"/>
    </xf>
    <xf numFmtId="0" fontId="0" fillId="0" borderId="13" xfId="0" applyFont="1" applyBorder="1">
      <alignment vertical="center" wrapText="1"/>
    </xf>
    <xf numFmtId="0" fontId="0" fillId="0" borderId="14" xfId="0" applyFont="1" applyBorder="1">
      <alignment vertical="center" wrapText="1"/>
    </xf>
    <xf numFmtId="0" fontId="0" fillId="0" borderId="0" xfId="0" applyFont="1" applyBorder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Border="1" applyAlignment="1"/>
    <xf numFmtId="0" fontId="0" fillId="0" borderId="14" xfId="0" applyBorder="1" applyAlignment="1"/>
    <xf numFmtId="0" fontId="0" fillId="0" borderId="13" xfId="0" applyBorder="1">
      <alignment vertical="center" wrapText="1"/>
    </xf>
    <xf numFmtId="14" fontId="0" fillId="0" borderId="0" xfId="0" applyNumberFormat="1" applyFont="1" applyFill="1" applyBorder="1" applyAlignment="1">
      <alignment horizontal="left" vertical="center"/>
    </xf>
    <xf numFmtId="0" fontId="22" fillId="5" borderId="0" xfId="0" applyFont="1" applyFill="1" applyBorder="1" applyAlignment="1">
      <alignment horizontal="left" vertical="center" wrapText="1" indent="1"/>
    </xf>
    <xf numFmtId="0" fontId="15" fillId="5" borderId="0" xfId="0" applyFont="1" applyFill="1" applyBorder="1" applyAlignment="1">
      <alignment horizontal="left" vertical="center" wrapText="1"/>
    </xf>
    <xf numFmtId="0" fontId="22" fillId="5" borderId="0" xfId="0" applyFont="1" applyFill="1" applyBorder="1" applyAlignment="1">
      <alignment vertical="center" wrapText="1"/>
    </xf>
    <xf numFmtId="14" fontId="15" fillId="5" borderId="0" xfId="0" applyNumberFormat="1" applyFont="1" applyFill="1" applyBorder="1" applyAlignment="1">
      <alignment horizontal="left" vertical="center" wrapText="1"/>
    </xf>
    <xf numFmtId="0" fontId="24" fillId="0" borderId="15" xfId="0" applyFont="1" applyBorder="1" applyAlignment="1">
      <alignment horizontal="left" vertical="center" indent="1"/>
    </xf>
    <xf numFmtId="0" fontId="22" fillId="0" borderId="15" xfId="0" applyFont="1" applyBorder="1" applyAlignment="1">
      <alignment horizontal="left" vertical="center"/>
    </xf>
    <xf numFmtId="0" fontId="24" fillId="0" borderId="7" xfId="0" applyFont="1" applyBorder="1" applyAlignment="1">
      <alignment horizontal="left" vertical="center" indent="1"/>
    </xf>
    <xf numFmtId="0" fontId="15" fillId="0" borderId="7" xfId="0" applyFont="1" applyBorder="1" applyAlignment="1">
      <alignment horizontal="left" vertical="center"/>
    </xf>
    <xf numFmtId="179" fontId="15" fillId="0" borderId="7" xfId="0" applyNumberFormat="1" applyFont="1" applyBorder="1" applyAlignment="1">
      <alignment horizontal="left" vertical="center"/>
    </xf>
    <xf numFmtId="180" fontId="15" fillId="0" borderId="7" xfId="0" applyNumberFormat="1" applyFont="1" applyBorder="1" applyAlignment="1">
      <alignment horizontal="left" vertical="center"/>
    </xf>
    <xf numFmtId="0" fontId="15" fillId="0" borderId="7" xfId="0" applyNumberFormat="1" applyFont="1" applyBorder="1" applyAlignment="1">
      <alignment horizontal="left" vertical="center"/>
    </xf>
    <xf numFmtId="0" fontId="24" fillId="0" borderId="4" xfId="0" applyFont="1" applyBorder="1" applyAlignment="1">
      <alignment horizontal="left" vertical="center" indent="1"/>
    </xf>
    <xf numFmtId="179" fontId="15" fillId="0" borderId="4" xfId="0" applyNumberFormat="1" applyFont="1" applyBorder="1" applyAlignment="1">
      <alignment horizontal="left" vertical="center"/>
    </xf>
    <xf numFmtId="0" fontId="20" fillId="0" borderId="9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21" fillId="0" borderId="9" xfId="4" applyFont="1" applyBorder="1" applyAlignment="1">
      <alignment horizontal="right" vertical="center" wrapText="1"/>
    </xf>
    <xf numFmtId="0" fontId="21" fillId="0" borderId="10" xfId="4" applyFont="1" applyBorder="1" applyAlignment="1">
      <alignment horizontal="right" vertical="center" wrapText="1"/>
    </xf>
    <xf numFmtId="0" fontId="21" fillId="0" borderId="0" xfId="4" applyFont="1" applyBorder="1" applyAlignment="1">
      <alignment horizontal="right" vertical="center" wrapText="1" indent="1"/>
    </xf>
    <xf numFmtId="0" fontId="21" fillId="0" borderId="12" xfId="4" applyFont="1" applyBorder="1" applyAlignment="1">
      <alignment horizontal="right" vertical="center" wrapText="1" indent="1"/>
    </xf>
    <xf numFmtId="0" fontId="15" fillId="4" borderId="11" xfId="0" applyFont="1" applyFill="1" applyBorder="1" applyAlignment="1">
      <alignment horizontal="center" vertical="center" wrapText="1"/>
    </xf>
    <xf numFmtId="0" fontId="15" fillId="4" borderId="0" xfId="0" applyFont="1" applyFill="1" applyBorder="1" applyAlignment="1">
      <alignment horizontal="center" vertical="center" wrapText="1"/>
    </xf>
    <xf numFmtId="0" fontId="21" fillId="0" borderId="0" xfId="4" applyFont="1" applyBorder="1" applyAlignment="1">
      <alignment horizontal="center" vertical="center" wrapText="1"/>
    </xf>
    <xf numFmtId="0" fontId="21" fillId="0" borderId="12" xfId="4" applyFont="1" applyBorder="1" applyAlignment="1">
      <alignment horizontal="center" vertical="center" wrapText="1"/>
    </xf>
    <xf numFmtId="0" fontId="21" fillId="0" borderId="9" xfId="4" applyFont="1" applyBorder="1" applyAlignment="1">
      <alignment horizontal="center" vertical="center" wrapText="1"/>
    </xf>
    <xf numFmtId="0" fontId="21" fillId="0" borderId="10" xfId="4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top" wrapText="1"/>
    </xf>
    <xf numFmtId="0" fontId="23" fillId="0" borderId="0" xfId="0" applyFont="1" applyBorder="1" applyAlignment="1">
      <alignment horizontal="center" vertical="top" wrapText="1"/>
    </xf>
    <xf numFmtId="0" fontId="21" fillId="0" borderId="0" xfId="4" applyFont="1" applyBorder="1" applyAlignment="1">
      <alignment horizontal="right" vertical="center" wrapText="1"/>
    </xf>
    <xf numFmtId="0" fontId="21" fillId="0" borderId="12" xfId="4" applyFont="1" applyBorder="1" applyAlignment="1">
      <alignment horizontal="right" vertical="center" wrapText="1"/>
    </xf>
    <xf numFmtId="0" fontId="15" fillId="4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0" borderId="0" xfId="0" applyFont="1" applyFill="1" applyBorder="1" applyAlignment="1">
      <alignment vertical="center" wrapText="1"/>
    </xf>
  </cellXfs>
  <cellStyles count="49">
    <cellStyle name="20% - 着色 1" xfId="26" builtinId="30" customBuiltin="1"/>
    <cellStyle name="20% - 着色 2" xfId="30" builtinId="34" customBuiltin="1"/>
    <cellStyle name="20% - 着色 3" xfId="34" builtinId="38" customBuiltin="1"/>
    <cellStyle name="20% - 着色 4" xfId="38" builtinId="42" customBuiltin="1"/>
    <cellStyle name="20% - 着色 5" xfId="42" builtinId="46" customBuiltin="1"/>
    <cellStyle name="20% - 着色 6" xfId="46" builtinId="50" customBuiltin="1"/>
    <cellStyle name="40% - 着色 1" xfId="27" builtinId="31" customBuiltin="1"/>
    <cellStyle name="40% - 着色 2" xfId="31" builtinId="35" customBuiltin="1"/>
    <cellStyle name="40% - 着色 3" xfId="35" builtinId="39" customBuiltin="1"/>
    <cellStyle name="40% - 着色 4" xfId="39" builtinId="43" customBuiltin="1"/>
    <cellStyle name="40% - 着色 5" xfId="43" builtinId="47" customBuiltin="1"/>
    <cellStyle name="40% - 着色 6" xfId="47" builtinId="51" customBuiltin="1"/>
    <cellStyle name="60% - 着色 1" xfId="28" builtinId="32" customBuiltin="1"/>
    <cellStyle name="60% - 着色 2" xfId="32" builtinId="36" customBuiltin="1"/>
    <cellStyle name="60% - 着色 3" xfId="36" builtinId="40" customBuiltin="1"/>
    <cellStyle name="60% - 着色 4" xfId="40" builtinId="44" customBuiltin="1"/>
    <cellStyle name="60% - 着色 5" xfId="44" builtinId="48" customBuiltin="1"/>
    <cellStyle name="60% - 着色 6" xfId="48" builtinId="52" customBuiltin="1"/>
    <cellStyle name="百分比" xfId="10" builtinId="5" customBuiltin="1"/>
    <cellStyle name="标题" xfId="16" builtinId="15" customBuiltin="1"/>
    <cellStyle name="标题 1" xfId="11" builtinId="16" customBuiltin="1"/>
    <cellStyle name="标题 2" xfId="12" builtinId="17" customBuiltin="1"/>
    <cellStyle name="标题 3" xfId="13" builtinId="18" customBuiltin="1"/>
    <cellStyle name="标题 4" xfId="17" builtinId="19" customBuiltin="1"/>
    <cellStyle name="差" xfId="19" builtinId="27" customBuiltin="1"/>
    <cellStyle name="常规" xfId="0" builtinId="0" customBuiltin="1"/>
    <cellStyle name="超链接" xfId="4" builtinId="8" customBuiltin="1"/>
    <cellStyle name="好" xfId="18" builtinId="26" customBuiltin="1"/>
    <cellStyle name="汇总" xfId="15" builtinId="25" customBuiltin="1"/>
    <cellStyle name="货币" xfId="8" builtinId="4" customBuiltin="1"/>
    <cellStyle name="货币[0]" xfId="9" builtinId="7" customBuiltin="1"/>
    <cellStyle name="计算" xfId="2" builtinId="22" customBuiltin="1"/>
    <cellStyle name="检查单元格" xfId="23" builtinId="23" customBuiltin="1"/>
    <cellStyle name="解释性文本" xfId="3" builtinId="53" customBuiltin="1"/>
    <cellStyle name="警告文本" xfId="24" builtinId="11" customBuiltin="1"/>
    <cellStyle name="链接单元格" xfId="22" builtinId="24" customBuiltin="1"/>
    <cellStyle name="千位分隔" xfId="6" builtinId="3" customBuiltin="1"/>
    <cellStyle name="千位分隔[0]" xfId="7" builtinId="6" customBuiltin="1"/>
    <cellStyle name="适中" xfId="20" builtinId="28" customBuiltin="1"/>
    <cellStyle name="输出" xfId="21" builtinId="21" customBuiltin="1"/>
    <cellStyle name="输入" xfId="1" builtinId="20" customBuiltin="1"/>
    <cellStyle name="已访问的超链接" xfId="5" builtinId="9" customBuiltin="1"/>
    <cellStyle name="着色 1" xfId="25" builtinId="29" customBuiltin="1"/>
    <cellStyle name="着色 2" xfId="29" builtinId="33" customBuiltin="1"/>
    <cellStyle name="着色 3" xfId="33" builtinId="37" customBuiltin="1"/>
    <cellStyle name="着色 4" xfId="37" builtinId="41" customBuiltin="1"/>
    <cellStyle name="着色 5" xfId="41" builtinId="45" customBuiltin="1"/>
    <cellStyle name="着色 6" xfId="45" builtinId="49" customBuiltin="1"/>
    <cellStyle name="注释" xfId="14" builtinId="10" customBuiltin="1"/>
  </cellStyles>
  <dxfs count="24">
    <dxf>
      <font>
        <b val="0"/>
        <i val="0"/>
        <strike val="0"/>
        <outline val="0"/>
        <shadow val="0"/>
        <u val="none"/>
        <vertAlign val="baseline"/>
        <sz val="11"/>
        <color theme="1"/>
        <name val="Century Gothic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79" formatCode="[&lt;=9999999]###\-####;\(###\)\ ###\-####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9" formatCode="yyyy/m/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/>
        <right style="thick">
          <color theme="4" tint="-0.499984740745262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79" formatCode="[&lt;=9999999]###\-####;\(###\)\ ###\-####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79" formatCode="[&lt;=9999999]###\-####;\(###\)\ ###\-####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ookman Old Style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79" formatCode="[&lt;=9999999]###\-####;\(###\)\ ###\-####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79" formatCode="[&lt;=9999999]###\-####;\(###\)\ ###\-####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79" formatCode="[&lt;=9999999]###\-####;\(###\)\ ###\-####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</font>
      <alignment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Bookman Old Style"/>
        <scheme val="major"/>
      </font>
      <alignment horizontal="general" vertical="center" textRotation="0" wrapText="0" indent="0" justifyLastLine="0" shrinkToFit="0" readingOrder="0"/>
    </dxf>
    <dxf>
      <font>
        <b val="0"/>
        <i val="0"/>
        <color theme="0"/>
      </font>
      <fill>
        <patternFill>
          <bgColor theme="0"/>
        </patternFill>
      </fill>
      <border diagonalUp="0" diagonalDown="0">
        <left/>
        <right style="thick">
          <color theme="4" tint="0.59996337778862885"/>
        </right>
        <top/>
        <bottom/>
        <vertical/>
        <horizontal/>
      </border>
    </dxf>
    <dxf>
      <font>
        <b val="0"/>
        <i val="0"/>
        <color theme="0"/>
      </font>
      <fill>
        <patternFill>
          <bgColor theme="0"/>
        </patternFill>
      </fill>
      <border diagonalUp="0" diagonalDown="0">
        <left style="thick">
          <color theme="4" tint="0.59996337778862885"/>
        </left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 diagonalUp="0" diagonalDown="0">
        <left/>
        <right style="thick">
          <color theme="4" tint="-0.499984740745262"/>
        </right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vertical/>
        <horizontal/>
      </border>
    </dxf>
    <dxf>
      <font>
        <b/>
        <i val="0"/>
        <color theme="1" tint="0.34998626667073579"/>
      </font>
      <fill>
        <patternFill patternType="solid">
          <fgColor theme="4"/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1" tint="0.34998626667073579"/>
      </font>
      <fill>
        <patternFill>
          <bgColor theme="0"/>
        </patternFill>
      </fill>
      <border>
        <left/>
        <right style="thick">
          <color theme="4" tint="-0.499984740745262"/>
        </right>
        <top style="thick">
          <color theme="4" tint="-0.499984740745262"/>
        </top>
        <bottom style="thick">
          <color theme="4" tint="-0.499984740745262"/>
        </bottom>
        <vertical/>
        <horizontal style="thin">
          <color theme="4" tint="-0.499984740745262"/>
        </horizontal>
      </border>
    </dxf>
  </dxfs>
  <tableStyles count="1" defaultTableStyle="ClassRoster_table1" defaultPivotStyle="PivotStyleLight16">
    <tableStyle name="ClassRoster_table1" pivot="0" count="6" xr9:uid="{00000000-0011-0000-FFFF-FFFF00000000}">
      <tableStyleElement type="wholeTable" dxfId="23"/>
      <tableStyleElement type="headerRow" dxfId="22"/>
      <tableStyleElement type="firstColumn" dxfId="21"/>
      <tableStyleElement type="lastColumn" dxfId="20"/>
      <tableStyleElement type="firstHeaderCell" dxfId="19"/>
      <tableStyleElement type="lastHeaderCell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&#29677;&#32423;&#21517;&#21333;'!A1"/><Relationship Id="rId1" Type="http://schemas.openxmlformats.org/officeDocument/2006/relationships/hyperlink" Target="#'&#23398;&#29983;&#35814;&#32454;&#20449;&#24687;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&#23398;&#29983;&#21015;&#34920;'!A1"/><Relationship Id="rId1" Type="http://schemas.openxmlformats.org/officeDocument/2006/relationships/hyperlink" Target="#'&#23398;&#29983;&#35814;&#32454;&#20449;&#24687;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&#23398;&#29983;&#21015;&#34920;'!A1"/><Relationship Id="rId1" Type="http://schemas.openxmlformats.org/officeDocument/2006/relationships/hyperlink" Target="#'&#29677;&#32423;&#21517;&#21333;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1550779</xdr:colOff>
      <xdr:row>2</xdr:row>
      <xdr:rowOff>29576</xdr:rowOff>
    </xdr:from>
    <xdr:to>
      <xdr:col>11</xdr:col>
      <xdr:colOff>132443</xdr:colOff>
      <xdr:row>2</xdr:row>
      <xdr:rowOff>221600</xdr:rowOff>
    </xdr:to>
    <xdr:sp macro="" textlink="">
      <xdr:nvSpPr>
        <xdr:cNvPr id="4" name="转到“学生详细信息”" descr="Student Details navigation button">
          <a:hlinkClick xmlns:r="http://schemas.openxmlformats.org/officeDocument/2006/relationships" r:id="rId1" tooltip="选择此处导航到“学生详细信息”工作表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104854" y="658226"/>
          <a:ext cx="2486914" cy="19202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 rtl="0"/>
          <a:r>
            <a:rPr lang="zh-cn" sz="110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转到学生详细信息</a:t>
          </a:r>
        </a:p>
      </xdr:txBody>
    </xdr:sp>
    <xdr:clientData fPrintsWithSheet="0"/>
  </xdr:twoCellAnchor>
  <xdr:twoCellAnchor editAs="oneCell">
    <xdr:from>
      <xdr:col>2</xdr:col>
      <xdr:colOff>0</xdr:colOff>
      <xdr:row>1</xdr:row>
      <xdr:rowOff>0</xdr:rowOff>
    </xdr:from>
    <xdr:to>
      <xdr:col>3</xdr:col>
      <xdr:colOff>1248150</xdr:colOff>
      <xdr:row>2</xdr:row>
      <xdr:rowOff>274572</xdr:rowOff>
    </xdr:to>
    <xdr:sp macro="" textlink="C2">
      <xdr:nvSpPr>
        <xdr:cNvPr id="7" name="学生列表" descr="Student Lis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47650" y="219075"/>
          <a:ext cx="3096000" cy="684147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 rtl="0"/>
          <a:fld id="{4E5C5A06-5E1B-41EF-8A1D-AD9F8790E807}" type="TxLink">
            <a:rPr lang="en-US" sz="2800" b="1" i="0" u="none" strike="noStrike">
              <a:solidFill>
                <a:srgbClr val="FFFFFF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pPr algn="ctr" rtl="0"/>
            <a:t>学生列表</a:t>
          </a:fld>
          <a:endParaRPr lang="en-US" sz="2800" b="1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oneCell">
    <xdr:from>
      <xdr:col>9</xdr:col>
      <xdr:colOff>1549605</xdr:colOff>
      <xdr:row>1</xdr:row>
      <xdr:rowOff>132433</xdr:rowOff>
    </xdr:from>
    <xdr:to>
      <xdr:col>11</xdr:col>
      <xdr:colOff>131350</xdr:colOff>
      <xdr:row>1</xdr:row>
      <xdr:rowOff>324457</xdr:rowOff>
    </xdr:to>
    <xdr:sp macro="" textlink="">
      <xdr:nvSpPr>
        <xdr:cNvPr id="3" name="转到“班级名单”" descr="Class Roster navigation button">
          <a:hlinkClick xmlns:r="http://schemas.openxmlformats.org/officeDocument/2006/relationships" r:id="rId2" tooltip="选择此处导航到“班级名单”工作表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103680" y="351508"/>
          <a:ext cx="2486995" cy="19202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 rtl="0"/>
          <a:r>
            <a:rPr lang="zh-cn" sz="110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转到</a:t>
          </a:r>
          <a:r>
            <a:rPr lang="zh-CN" altLang="en-US" sz="110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班级名单</a:t>
          </a:r>
          <a:endParaRPr lang="zh-cn" sz="1100" b="1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5715</xdr:rowOff>
    </xdr:from>
    <xdr:to>
      <xdr:col>2</xdr:col>
      <xdr:colOff>3092825</xdr:colOff>
      <xdr:row>2</xdr:row>
      <xdr:rowOff>280140</xdr:rowOff>
    </xdr:to>
    <xdr:sp macro="" textlink="C2">
      <xdr:nvSpPr>
        <xdr:cNvPr id="4" name="班级名单" descr="Class Roster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47650" y="224790"/>
          <a:ext cx="3096000" cy="68400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 rtl="0"/>
          <a:fld id="{A216D4F5-83C8-4E87-A21B-328C609D29F1}" type="TxLink">
            <a:rPr lang="en-US" sz="2800" b="1" i="0" u="none" strike="noStrike">
              <a:solidFill>
                <a:srgbClr val="FFFFFF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pPr algn="ctr" rtl="0"/>
            <a:t>班级花名册</a:t>
          </a:fld>
          <a:endParaRPr lang="en-US" sz="2800" b="1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oneCell">
    <xdr:from>
      <xdr:col>4</xdr:col>
      <xdr:colOff>882379</xdr:colOff>
      <xdr:row>2</xdr:row>
      <xdr:rowOff>33984</xdr:rowOff>
    </xdr:from>
    <xdr:to>
      <xdr:col>6</xdr:col>
      <xdr:colOff>137524</xdr:colOff>
      <xdr:row>2</xdr:row>
      <xdr:rowOff>224784</xdr:rowOff>
    </xdr:to>
    <xdr:sp macro="" textlink="">
      <xdr:nvSpPr>
        <xdr:cNvPr id="5" name="转到“学生详细信息”" descr="Student Details navigation button">
          <a:hlinkClick xmlns:r="http://schemas.openxmlformats.org/officeDocument/2006/relationships" r:id="rId1" tooltip="选择此处导航到“学生详细信息”工作表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397604" y="662634"/>
          <a:ext cx="2522220" cy="19080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l" rtl="0"/>
          <a:r>
            <a:rPr lang="zh-cn" sz="110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转到学生详细信息</a:t>
          </a:r>
        </a:p>
      </xdr:txBody>
    </xdr:sp>
    <xdr:clientData fPrintsWithSheet="0"/>
  </xdr:twoCellAnchor>
  <xdr:twoCellAnchor editAs="oneCell">
    <xdr:from>
      <xdr:col>4</xdr:col>
      <xdr:colOff>882379</xdr:colOff>
      <xdr:row>1</xdr:row>
      <xdr:rowOff>130722</xdr:rowOff>
    </xdr:from>
    <xdr:to>
      <xdr:col>6</xdr:col>
      <xdr:colOff>137524</xdr:colOff>
      <xdr:row>1</xdr:row>
      <xdr:rowOff>321522</xdr:rowOff>
    </xdr:to>
    <xdr:sp macro="" textlink="">
      <xdr:nvSpPr>
        <xdr:cNvPr id="3" name="转到“学生列表”" descr="Student List navigation button">
          <a:hlinkClick xmlns:r="http://schemas.openxmlformats.org/officeDocument/2006/relationships" r:id="rId2" tooltip="选择此处导航到“学生列表”工作表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397604" y="349797"/>
          <a:ext cx="2522220" cy="19080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 rtl="0"/>
          <a:r>
            <a:rPr lang="zh-cn" sz="110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转到学生列表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10259</xdr:colOff>
      <xdr:row>1</xdr:row>
      <xdr:rowOff>7481</xdr:rowOff>
    </xdr:from>
    <xdr:to>
      <xdr:col>2</xdr:col>
      <xdr:colOff>3106259</xdr:colOff>
      <xdr:row>2</xdr:row>
      <xdr:rowOff>281906</xdr:rowOff>
    </xdr:to>
    <xdr:sp macro="" textlink="C2">
      <xdr:nvSpPr>
        <xdr:cNvPr id="27" name="学生详细信息" descr="Student details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257909" y="226556"/>
          <a:ext cx="3096000" cy="68400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Ins="91440" rtlCol="0" anchor="ctr">
          <a:noAutofit/>
        </a:bodyPr>
        <a:lstStyle/>
        <a:p>
          <a:pPr algn="ctr" rtl="0"/>
          <a:fld id="{66EE8BF1-1BB7-40B6-BD43-5DE580D9C20E}" type="TxLink">
            <a:rPr lang="en-US" sz="2800" b="1" i="0" u="none" strike="noStrike">
              <a:solidFill>
                <a:srgbClr val="FFFFFF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pPr algn="ctr" rtl="0"/>
            <a:t>学生详细信息</a:t>
          </a:fld>
          <a:endParaRPr lang="en-US" sz="2800" b="1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oneCell">
    <xdr:from>
      <xdr:col>3</xdr:col>
      <xdr:colOff>1542219</xdr:colOff>
      <xdr:row>2</xdr:row>
      <xdr:rowOff>51613</xdr:rowOff>
    </xdr:from>
    <xdr:to>
      <xdr:col>5</xdr:col>
      <xdr:colOff>1620</xdr:colOff>
      <xdr:row>2</xdr:row>
      <xdr:rowOff>243637</xdr:rowOff>
    </xdr:to>
    <xdr:sp macro="" textlink="">
      <xdr:nvSpPr>
        <xdr:cNvPr id="3" name="转到“班级名单”" descr="Class Roster navigation button">
          <a:hlinkClick xmlns:r="http://schemas.openxmlformats.org/officeDocument/2006/relationships" r:id="rId1" tooltip="选择此处导航到“班级名单”工作表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33169" y="680263"/>
          <a:ext cx="2278926" cy="19202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 rtl="0"/>
          <a:r>
            <a:rPr lang="zh-cn" sz="105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转到</a:t>
          </a:r>
          <a:r>
            <a:rPr lang="zh-CN" altLang="en-US" sz="105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班级名单</a:t>
          </a:r>
          <a:endParaRPr lang="zh-cn" sz="1050" b="1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 editAs="oneCell">
    <xdr:from>
      <xdr:col>3</xdr:col>
      <xdr:colOff>1544600</xdr:colOff>
      <xdr:row>1</xdr:row>
      <xdr:rowOff>140866</xdr:rowOff>
    </xdr:from>
    <xdr:to>
      <xdr:col>5</xdr:col>
      <xdr:colOff>4001</xdr:colOff>
      <xdr:row>1</xdr:row>
      <xdr:rowOff>332890</xdr:rowOff>
    </xdr:to>
    <xdr:sp macro="" textlink="">
      <xdr:nvSpPr>
        <xdr:cNvPr id="2" name="转到“学生列表”" descr="Student List navigation button">
          <a:hlinkClick xmlns:r="http://schemas.openxmlformats.org/officeDocument/2006/relationships" r:id="rId2" tooltip="选择此处导航到“学生列表”工作表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335550" y="359941"/>
          <a:ext cx="2278926" cy="19202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 rtl="0"/>
          <a:r>
            <a:rPr lang="zh-cn" sz="105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转到学生列表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学生" displayName="学生" ref="C4:L8" totalsRowShown="0" headerRowDxfId="17" dataDxfId="16">
  <tableColumns count="10">
    <tableColumn id="15" xr3:uid="{00000000-0010-0000-0000-00000F000000}" name="学生姓名" dataDxfId="2"/>
    <tableColumn id="3" xr3:uid="{00000000-0010-0000-0000-000003000000}" name="电子邮件" dataDxfId="0"/>
    <tableColumn id="4" xr3:uid="{00000000-0010-0000-0000-000004000000}" name="住宅电话" dataDxfId="1"/>
    <tableColumn id="5" xr3:uid="{00000000-0010-0000-0000-000005000000}" name="移动电话" dataDxfId="15"/>
    <tableColumn id="6" xr3:uid="{00000000-0010-0000-0000-000006000000}" name="出生日期" dataDxfId="3"/>
    <tableColumn id="7" xr3:uid="{00000000-0010-0000-0000-000007000000}" name="紧急联系人" dataDxfId="14"/>
    <tableColumn id="8" xr3:uid="{00000000-0010-0000-0000-000008000000}" name="紧急联系电话" dataDxfId="13"/>
    <tableColumn id="9" xr3:uid="{00000000-0010-0000-0000-000009000000}" name="医师" dataDxfId="12"/>
    <tableColumn id="10" xr3:uid="{00000000-0010-0000-0000-00000A000000}" name="医师电话" dataDxfId="11"/>
    <tableColumn id="2" xr3:uid="{00000000-0010-0000-0000-000002000000}" name="  "/>
  </tableColumns>
  <tableStyleInfo name="ClassRoster_table1" showFirstColumn="0" showLastColumn="1" showRowStripes="1" showColumnStripes="0"/>
  <extLst>
    <ext xmlns:x14="http://schemas.microsoft.com/office/spreadsheetml/2009/9/main" uri="{504A1905-F514-4f6f-8877-14C23A59335A}">
      <x14:table altTextSummary="在此表中输入学生姓名、电子邮件地址、住宅电话号码和手机号码、出生日期、紧急联系方式和医师详细信息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学生名单" displayName="学生名单" ref="C8:G12" totalsRowShown="0" headerRowDxfId="10" dataDxfId="9">
  <tableColumns count="5">
    <tableColumn id="1" xr3:uid="{00000000-0010-0000-0100-000001000000}" name="学生姓名" dataDxfId="8"/>
    <tableColumn id="2" xr3:uid="{00000000-0010-0000-0100-000002000000}" name="电子邮件" dataDxfId="7">
      <calculatedColumnFormula>IFERROR(VLOOKUP(学生名单[[#This Row],[学生姓名]],学生[],2),"")</calculatedColumnFormula>
    </tableColumn>
    <tableColumn id="3" xr3:uid="{00000000-0010-0000-0100-000003000000}" name="住宅电话" dataDxfId="6">
      <calculatedColumnFormula>IFERROR(VLOOKUP(学生名单[[#This Row],[学生姓名]],学生[],3),"")</calculatedColumnFormula>
    </tableColumn>
    <tableColumn id="4" xr3:uid="{00000000-0010-0000-0100-000004000000}" name="移动电话" dataDxfId="5">
      <calculatedColumnFormula>IFERROR(VLOOKUP(学生名单[[#This Row],[学生姓名]],学生[],4),"")</calculatedColumnFormula>
    </tableColumn>
    <tableColumn id="6" xr3:uid="{00000000-0010-0000-0100-000006000000}" name="  " dataDxfId="4"/>
  </tableColumns>
  <tableStyleInfo name="ClassRoster_table1" showFirstColumn="0" showLastColumn="1" showRowStripes="1" showColumnStripes="0"/>
  <extLst>
    <ext xmlns:x14="http://schemas.microsoft.com/office/spreadsheetml/2009/9/main" uri="{504A1905-F514-4f6f-8877-14C23A59335A}">
      <x14:table altTextSummary="选择学生姓名，之后此表中的其他详细信息会自动更新"/>
    </ext>
  </extLst>
</table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ketchbook">
  <a:themeElements>
    <a:clrScheme name="ClassRoster_color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61C7DB"/>
      </a:accent1>
      <a:accent2>
        <a:srgbClr val="96C030"/>
      </a:accent2>
      <a:accent3>
        <a:srgbClr val="DB4D75"/>
      </a:accent3>
      <a:accent4>
        <a:srgbClr val="F09D23"/>
      </a:accent4>
      <a:accent5>
        <a:srgbClr val="8968A9"/>
      </a:accent5>
      <a:accent6>
        <a:srgbClr val="EAC71D"/>
      </a:accent6>
      <a:hlink>
        <a:srgbClr val="61C7DB"/>
      </a:hlink>
      <a:folHlink>
        <a:srgbClr val="8968A9"/>
      </a:folHlink>
    </a:clrScheme>
    <a:fontScheme name="ClassRoster_fonts">
      <a:majorFont>
        <a:latin typeface="Bookman Old Style"/>
        <a:ea typeface=""/>
        <a:cs typeface=""/>
      </a:majorFont>
      <a:minorFont>
        <a:latin typeface="Century Gothic"/>
        <a:ea typeface=""/>
        <a:cs typeface=""/>
      </a:minorFont>
    </a:fontScheme>
    <a:fmtScheme name="Sketchbook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alpha val="94000"/>
                <a:satMod val="120000"/>
                <a:lumMod val="110000"/>
              </a:schemeClr>
            </a:gs>
            <a:gs pos="100000">
              <a:schemeClr val="phClr">
                <a:tint val="80000"/>
                <a:shade val="100000"/>
                <a:satMod val="140000"/>
                <a:lumMod val="12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100000"/>
                <a:shade val="100000"/>
                <a:satMod val="100000"/>
                <a:lumMod val="90000"/>
              </a:schemeClr>
            </a:gs>
            <a:gs pos="100000">
              <a:schemeClr val="phClr">
                <a:tint val="95000"/>
                <a:shade val="100000"/>
                <a:satMod val="110000"/>
                <a:lumMod val="105000"/>
              </a:schemeClr>
            </a:gs>
          </a:gsLst>
          <a:path path="circle">
            <a:fillToRect l="40000" t="100000" r="4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shade val="9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rotWithShape="0">
              <a:srgbClr val="000000">
                <a:alpha val="37000"/>
              </a:srgbClr>
            </a:outerShdw>
          </a:effectLst>
        </a:effectStyle>
        <a:effectStyle>
          <a:effectLst>
            <a:outerShdw blurRad="50800" dist="25400" dir="5040000" rotWithShape="0">
              <a:srgbClr val="000000">
                <a:alpha val="44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dkEdge">
            <a:bevelT w="38100" h="25400" prst="coolSlant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shade val="55000"/>
                <a:lumMod val="90000"/>
              </a:schemeClr>
              <a:schemeClr val="phClr">
                <a:tint val="92000"/>
                <a:satMod val="120000"/>
                <a:lumMod val="103000"/>
              </a:schemeClr>
            </a:duotone>
          </a:blip>
          <a:stretch/>
        </a:blipFill>
        <a:blipFill rotWithShape="1">
          <a:blip xmlns:r="http://schemas.openxmlformats.org/officeDocument/2006/relationships" r:embed="rId2">
            <a:duotone>
              <a:schemeClr val="phClr">
                <a:shade val="96000"/>
              </a:schemeClr>
              <a:schemeClr val="phClr">
                <a:tint val="98000"/>
              </a:schemeClr>
            </a:duotone>
          </a:blip>
          <a:tile tx="0" ty="0" sx="50000" sy="5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Q10"/>
  <sheetViews>
    <sheetView showGridLines="0" tabSelected="1" zoomScaleNormal="100" workbookViewId="0"/>
  </sheetViews>
  <sheetFormatPr defaultRowHeight="30" customHeight="1" x14ac:dyDescent="0.3"/>
  <cols>
    <col min="1" max="1" width="1.44140625" customWidth="1"/>
    <col min="2" max="2" width="1.6640625" customWidth="1"/>
    <col min="3" max="4" width="22.33203125" customWidth="1"/>
    <col min="5" max="5" width="22" customWidth="1"/>
    <col min="6" max="6" width="16.6640625" customWidth="1"/>
    <col min="7" max="7" width="15.44140625" customWidth="1"/>
    <col min="8" max="8" width="21.33203125" customWidth="1"/>
    <col min="9" max="9" width="23.44140625" customWidth="1"/>
    <col min="10" max="10" width="24.6640625" customWidth="1"/>
    <col min="11" max="11" width="20.88671875" customWidth="1"/>
    <col min="12" max="13" width="1.6640625" customWidth="1"/>
    <col min="14" max="14" width="9.109375" customWidth="1"/>
  </cols>
  <sheetData>
    <row r="1" spans="2:17" ht="17.25" thickBot="1" x14ac:dyDescent="0.35"/>
    <row r="2" spans="2:17" ht="32.25" customHeight="1" thickTop="1" x14ac:dyDescent="0.3">
      <c r="B2" s="7"/>
      <c r="C2" s="41" t="s">
        <v>0</v>
      </c>
      <c r="D2" s="41"/>
      <c r="E2" s="43" t="s">
        <v>8</v>
      </c>
      <c r="F2" s="43"/>
      <c r="G2" s="43"/>
      <c r="H2" s="43"/>
      <c r="I2" s="43"/>
      <c r="J2" s="43"/>
      <c r="K2" s="43"/>
      <c r="L2" s="44"/>
    </row>
    <row r="3" spans="2:17" ht="30" customHeight="1" x14ac:dyDescent="0.3">
      <c r="B3" s="11"/>
      <c r="C3" s="42"/>
      <c r="D3" s="42"/>
      <c r="E3" s="45" t="s">
        <v>9</v>
      </c>
      <c r="F3" s="45"/>
      <c r="G3" s="45"/>
      <c r="H3" s="45"/>
      <c r="I3" s="45"/>
      <c r="J3" s="45"/>
      <c r="K3" s="45"/>
      <c r="L3" s="46"/>
    </row>
    <row r="4" spans="2:17" ht="23.25" customHeight="1" x14ac:dyDescent="0.3">
      <c r="B4" s="11"/>
      <c r="C4" s="4" t="s">
        <v>1</v>
      </c>
      <c r="D4" s="3" t="s">
        <v>6</v>
      </c>
      <c r="E4" s="3" t="s">
        <v>10</v>
      </c>
      <c r="F4" s="3" t="s">
        <v>11</v>
      </c>
      <c r="G4" s="3" t="s">
        <v>12</v>
      </c>
      <c r="H4" s="3" t="s">
        <v>14</v>
      </c>
      <c r="I4" s="3" t="s">
        <v>19</v>
      </c>
      <c r="J4" s="3" t="s">
        <v>20</v>
      </c>
      <c r="K4" s="3" t="s">
        <v>25</v>
      </c>
      <c r="L4" s="8" t="s">
        <v>26</v>
      </c>
    </row>
    <row r="5" spans="2:17" ht="30" customHeight="1" x14ac:dyDescent="0.3">
      <c r="B5" s="11"/>
      <c r="C5" s="4" t="s">
        <v>2</v>
      </c>
      <c r="D5" s="58" t="s">
        <v>7</v>
      </c>
      <c r="E5" s="2" t="s">
        <v>10</v>
      </c>
      <c r="F5" s="2" t="s">
        <v>11</v>
      </c>
      <c r="G5" s="27" t="s">
        <v>13</v>
      </c>
      <c r="H5" s="3" t="s">
        <v>15</v>
      </c>
      <c r="I5" s="2" t="s">
        <v>19</v>
      </c>
      <c r="J5" s="3" t="s">
        <v>21</v>
      </c>
      <c r="K5" s="2" t="s">
        <v>25</v>
      </c>
    </row>
    <row r="6" spans="2:17" ht="30" customHeight="1" x14ac:dyDescent="0.3">
      <c r="B6" s="11"/>
      <c r="C6" s="4" t="s">
        <v>3</v>
      </c>
      <c r="D6" s="59" t="s">
        <v>7</v>
      </c>
      <c r="E6" s="2" t="s">
        <v>10</v>
      </c>
      <c r="F6" s="2" t="s">
        <v>11</v>
      </c>
      <c r="G6" s="27" t="s">
        <v>13</v>
      </c>
      <c r="H6" s="3" t="s">
        <v>16</v>
      </c>
      <c r="I6" s="2" t="s">
        <v>19</v>
      </c>
      <c r="J6" s="3" t="s">
        <v>22</v>
      </c>
      <c r="K6" s="2" t="s">
        <v>25</v>
      </c>
    </row>
    <row r="7" spans="2:17" ht="30" customHeight="1" x14ac:dyDescent="0.3">
      <c r="B7" s="11"/>
      <c r="C7" s="4" t="s">
        <v>4</v>
      </c>
      <c r="D7" s="59" t="s">
        <v>7</v>
      </c>
      <c r="E7" s="2" t="s">
        <v>10</v>
      </c>
      <c r="F7" s="2" t="s">
        <v>11</v>
      </c>
      <c r="G7" s="27" t="s">
        <v>13</v>
      </c>
      <c r="H7" s="3" t="s">
        <v>17</v>
      </c>
      <c r="I7" s="2" t="s">
        <v>19</v>
      </c>
      <c r="J7" s="3" t="s">
        <v>23</v>
      </c>
      <c r="K7" s="2" t="s">
        <v>25</v>
      </c>
      <c r="M7" s="47" t="s">
        <v>27</v>
      </c>
      <c r="N7" s="48"/>
      <c r="O7" s="48"/>
      <c r="P7" s="48"/>
      <c r="Q7" s="48"/>
    </row>
    <row r="8" spans="2:17" ht="30" customHeight="1" x14ac:dyDescent="0.3">
      <c r="B8" s="11"/>
      <c r="C8" s="4" t="s">
        <v>5</v>
      </c>
      <c r="D8" s="59" t="s">
        <v>7</v>
      </c>
      <c r="E8" s="2" t="s">
        <v>10</v>
      </c>
      <c r="F8" s="2" t="s">
        <v>11</v>
      </c>
      <c r="G8" s="27" t="s">
        <v>13</v>
      </c>
      <c r="H8" s="3" t="s">
        <v>18</v>
      </c>
      <c r="I8" s="2" t="s">
        <v>19</v>
      </c>
      <c r="J8" s="3" t="s">
        <v>24</v>
      </c>
      <c r="K8" s="2" t="s">
        <v>25</v>
      </c>
      <c r="M8" s="47"/>
      <c r="N8" s="48"/>
      <c r="O8" s="48"/>
      <c r="P8" s="48"/>
      <c r="Q8" s="48"/>
    </row>
    <row r="9" spans="2:17" ht="30" customHeight="1" thickBot="1" x14ac:dyDescent="0.35">
      <c r="B9" s="26"/>
      <c r="C9" s="24"/>
      <c r="D9" s="24"/>
      <c r="E9" s="24"/>
      <c r="F9" s="24"/>
      <c r="G9" s="24"/>
      <c r="H9" s="24"/>
      <c r="I9" s="24"/>
      <c r="J9" s="24"/>
      <c r="K9" s="24"/>
      <c r="L9" s="25"/>
      <c r="M9" s="47"/>
      <c r="N9" s="48"/>
      <c r="O9" s="48"/>
      <c r="P9" s="48"/>
      <c r="Q9" s="48"/>
    </row>
    <row r="10" spans="2:17" ht="30" customHeight="1" thickTop="1" x14ac:dyDescent="0.3"/>
  </sheetData>
  <mergeCells count="4">
    <mergeCell ref="C2:D3"/>
    <mergeCell ref="E2:L2"/>
    <mergeCell ref="E3:L3"/>
    <mergeCell ref="M7:Q9"/>
  </mergeCells>
  <phoneticPr fontId="25" type="noConversion"/>
  <dataValidations xWindow="144" yWindow="415" count="14">
    <dataValidation allowBlank="1" showInputMessage="1" showErrorMessage="1" prompt="在此工作簿中创建班级名单。在此工作表的“学生”表中输入详细信息。选择单元格 E2 和 E3，导航到其他工作表。提示位于单元格 M7 中" sqref="A1" xr:uid="{00000000-0002-0000-0000-000000000000}"/>
    <dataValidation allowBlank="1" showInputMessage="1" showErrorMessage="1" prompt="此工作表的标题位于此单元格中" sqref="C2" xr:uid="{00000000-0002-0000-0000-000001000000}"/>
    <dataValidation allowBlank="1" showInputMessage="1" showErrorMessage="1" prompt="在此标题下的此列中输入学生姓名" sqref="C4" xr:uid="{00000000-0002-0000-0000-000002000000}"/>
    <dataValidation allowBlank="1" showInputMessage="1" showErrorMessage="1" prompt="在此标题下的此列中输入电子邮件地址" sqref="D4" xr:uid="{00000000-0002-0000-0000-000003000000}"/>
    <dataValidation allowBlank="1" showInputMessage="1" showErrorMessage="1" prompt="在此标题下的此列中输入住宅电话号码" sqref="E4" xr:uid="{00000000-0002-0000-0000-000004000000}"/>
    <dataValidation allowBlank="1" showInputMessage="1" showErrorMessage="1" prompt="在此标题下的列中输入移动电话号码" sqref="F4" xr:uid="{00000000-0002-0000-0000-000005000000}"/>
    <dataValidation allowBlank="1" showInputMessage="1" showErrorMessage="1" prompt="在此标题下的此列中输入出生日期" sqref="G4" xr:uid="{00000000-0002-0000-0000-000006000000}"/>
    <dataValidation allowBlank="1" showInputMessage="1" showErrorMessage="1" prompt="在此标题下的此列中输入紧急联系人姓名" sqref="H4" xr:uid="{00000000-0002-0000-0000-000007000000}"/>
    <dataValidation allowBlank="1" showInputMessage="1" showErrorMessage="1" prompt="在此标题下的列中输入紧急联系电话号码" sqref="I4" xr:uid="{00000000-0002-0000-0000-000008000000}"/>
    <dataValidation allowBlank="1" showInputMessage="1" showErrorMessage="1" prompt="在此标题下的列中输入医师姓名" sqref="J4" xr:uid="{00000000-0002-0000-0000-000009000000}"/>
    <dataValidation allowBlank="1" showInputMessage="1" showErrorMessage="1" prompt="在此标题下的列中输入医师电话号码" sqref="K4" xr:uid="{00000000-0002-0000-0000-00000A000000}"/>
    <dataValidation allowBlank="1" showInputMessage="1" showErrorMessage="1" prompt="此单元格中包含指向“班级名单”工作表的导航链接" sqref="E2" xr:uid="{00000000-0002-0000-0000-00000B000000}"/>
    <dataValidation allowBlank="1" showInputMessage="1" showErrorMessage="1" prompt="此单元格中包含指向“学生详细信息”工作表的导航链接" sqref="E3" xr:uid="{00000000-0002-0000-0000-00000C000000}"/>
    <dataValidation allowBlank="1" showInputMessage="1" showErrorMessage="1" prompt="提示位于此单元格中" sqref="M7" xr:uid="{00000000-0002-0000-0000-00000D000000}"/>
  </dataValidations>
  <hyperlinks>
    <hyperlink ref="E2:L2" location="班级名单!A1" tooltip="选择此处导航到“班级名单”工作表" display="转到班级花名册" xr:uid="{00000000-0004-0000-0000-000000000000}"/>
    <hyperlink ref="E3:L3" location="学生详细信息!A1" tooltip="选择此处导航到“学生详细信息”工作表" display="转到学生详细信息" xr:uid="{00000000-0004-0000-0000-000001000000}"/>
  </hyperlinks>
  <printOptions horizontalCentered="1"/>
  <pageMargins left="0.25" right="0.25" top="0.75" bottom="0.75" header="0.3" footer="0.3"/>
  <pageSetup paperSize="9" fitToHeight="0" orientation="landscape" r:id="rId1"/>
  <headerFooter differentFirst="1">
    <oddHeader>&amp;RPage &amp;P of &amp;N</oddHead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  <pageSetUpPr autoPageBreaks="0" fitToPage="1"/>
  </sheetPr>
  <dimension ref="B1:G14"/>
  <sheetViews>
    <sheetView showGridLines="0" zoomScaleNormal="100" workbookViewId="0"/>
  </sheetViews>
  <sheetFormatPr defaultRowHeight="30" customHeight="1" x14ac:dyDescent="0.3"/>
  <cols>
    <col min="1" max="1" width="1.44140625" customWidth="1"/>
    <col min="2" max="2" width="1.6640625" customWidth="1"/>
    <col min="3" max="3" width="40.6640625" customWidth="1"/>
    <col min="4" max="4" width="43.88671875" customWidth="1"/>
    <col min="5" max="5" width="18.6640625" customWidth="1"/>
    <col min="6" max="6" width="19.44140625" customWidth="1"/>
    <col min="7" max="7" width="1.6640625" customWidth="1"/>
    <col min="8" max="8" width="2.109375" customWidth="1"/>
  </cols>
  <sheetData>
    <row r="1" spans="2:7" ht="17.25" thickBot="1" x14ac:dyDescent="0.35"/>
    <row r="2" spans="2:7" ht="32.25" customHeight="1" thickTop="1" x14ac:dyDescent="0.3">
      <c r="B2" s="7"/>
      <c r="C2" s="41" t="s">
        <v>28</v>
      </c>
      <c r="D2" s="53" t="s">
        <v>32</v>
      </c>
      <c r="E2" s="51" t="s">
        <v>35</v>
      </c>
      <c r="F2" s="51"/>
      <c r="G2" s="52"/>
    </row>
    <row r="3" spans="2:7" ht="30" customHeight="1" x14ac:dyDescent="0.3">
      <c r="B3" s="11"/>
      <c r="C3" s="42"/>
      <c r="D3" s="54"/>
      <c r="E3" s="49" t="s">
        <v>9</v>
      </c>
      <c r="F3" s="49"/>
      <c r="G3" s="50"/>
    </row>
    <row r="4" spans="2:7" ht="30" customHeight="1" x14ac:dyDescent="0.3">
      <c r="B4" s="10"/>
      <c r="C4" s="28" t="s">
        <v>29</v>
      </c>
      <c r="D4" s="29" t="s">
        <v>33</v>
      </c>
      <c r="E4" s="30" t="s">
        <v>36</v>
      </c>
      <c r="F4" s="31" t="s">
        <v>13</v>
      </c>
      <c r="G4" s="12"/>
    </row>
    <row r="5" spans="2:7" ht="30" customHeight="1" x14ac:dyDescent="0.3">
      <c r="B5" s="10"/>
      <c r="C5" s="28" t="s">
        <v>30</v>
      </c>
      <c r="D5" s="29" t="s">
        <v>34</v>
      </c>
      <c r="E5" s="30" t="s">
        <v>37</v>
      </c>
      <c r="F5" s="31" t="s">
        <v>13</v>
      </c>
      <c r="G5" s="12"/>
    </row>
    <row r="6" spans="2:7" ht="30" customHeight="1" x14ac:dyDescent="0.3">
      <c r="B6" s="10"/>
      <c r="C6" s="28" t="s">
        <v>31</v>
      </c>
      <c r="D6" s="29">
        <f>COUNTA(学生名单[学生姓名])</f>
        <v>4</v>
      </c>
      <c r="E6" s="14"/>
      <c r="F6" s="14"/>
      <c r="G6" s="12"/>
    </row>
    <row r="7" spans="2:7" ht="4.5" customHeight="1" x14ac:dyDescent="0.3">
      <c r="B7" s="11"/>
      <c r="C7" s="1"/>
      <c r="D7" s="1"/>
      <c r="E7" s="1"/>
      <c r="F7" s="1"/>
      <c r="G7" s="8"/>
    </row>
    <row r="8" spans="2:7" ht="27.75" customHeight="1" x14ac:dyDescent="0.3">
      <c r="B8" s="17"/>
      <c r="C8" s="4" t="s">
        <v>1</v>
      </c>
      <c r="D8" s="3" t="s">
        <v>6</v>
      </c>
      <c r="E8" s="3" t="s">
        <v>10</v>
      </c>
      <c r="F8" s="3" t="s">
        <v>11</v>
      </c>
      <c r="G8" s="9" t="s">
        <v>26</v>
      </c>
    </row>
    <row r="9" spans="2:7" ht="30" customHeight="1" x14ac:dyDescent="0.3">
      <c r="B9" s="11"/>
      <c r="C9" s="5" t="s">
        <v>2</v>
      </c>
      <c r="D9" s="20" t="str">
        <f>IFERROR(VLOOKUP(学生名单[[#This Row],[学生姓名]],学生[],2),"")</f>
        <v>电子邮件地址</v>
      </c>
      <c r="E9" s="6" t="str">
        <f>IFERROR(VLOOKUP(学生名单[[#This Row],[学生姓名]],学生[],3),"")</f>
        <v>住宅电话</v>
      </c>
      <c r="F9" s="6" t="str">
        <f>IFERROR(VLOOKUP(学生名单[[#This Row],[学生姓名]],学生[],4),"")</f>
        <v>移动电话</v>
      </c>
      <c r="G9" s="13"/>
    </row>
    <row r="10" spans="2:7" ht="30" customHeight="1" x14ac:dyDescent="0.3">
      <c r="B10" s="11"/>
      <c r="C10" s="5" t="s">
        <v>3</v>
      </c>
      <c r="D10" s="20" t="str">
        <f>IFERROR(VLOOKUP(学生名单[[#This Row],[学生姓名]],学生[],2),"")</f>
        <v>电子邮件地址</v>
      </c>
      <c r="E10" s="6" t="str">
        <f>IFERROR(VLOOKUP(学生名单[[#This Row],[学生姓名]],学生[],3),"")</f>
        <v>住宅电话</v>
      </c>
      <c r="F10" s="6" t="str">
        <f>IFERROR(VLOOKUP(学生名单[[#This Row],[学生姓名]],学生[],4),"")</f>
        <v>移动电话</v>
      </c>
      <c r="G10" s="13"/>
    </row>
    <row r="11" spans="2:7" ht="30" customHeight="1" x14ac:dyDescent="0.3">
      <c r="B11" s="11"/>
      <c r="C11" s="5" t="s">
        <v>4</v>
      </c>
      <c r="D11" s="21" t="str">
        <f>IFERROR(VLOOKUP(学生名单[[#This Row],[学生姓名]],学生[],2),"")</f>
        <v>电子邮件地址</v>
      </c>
      <c r="E11" s="6" t="str">
        <f>IFERROR(VLOOKUP(学生名单[[#This Row],[学生姓名]],学生[],3),"")</f>
        <v>住宅电话</v>
      </c>
      <c r="F11" s="6" t="str">
        <f>IFERROR(VLOOKUP(学生名单[[#This Row],[学生姓名]],学生[],4),"")</f>
        <v>移动电话</v>
      </c>
      <c r="G11" s="13"/>
    </row>
    <row r="12" spans="2:7" ht="30" customHeight="1" x14ac:dyDescent="0.3">
      <c r="B12" s="11"/>
      <c r="C12" s="5" t="s">
        <v>5</v>
      </c>
      <c r="D12" s="21" t="str">
        <f>IFERROR(VLOOKUP(学生名单[[#This Row],[学生姓名]],学生[],2),"")</f>
        <v>电子邮件地址</v>
      </c>
      <c r="E12" s="6" t="str">
        <f>IFERROR(VLOOKUP(学生名单[[#This Row],[学生姓名]],学生[],3),"")</f>
        <v>住宅电话</v>
      </c>
      <c r="F12" s="6" t="str">
        <f>IFERROR(VLOOKUP(学生名单[[#This Row],[学生姓名]],学生[],4),"")</f>
        <v>移动电话</v>
      </c>
      <c r="G12" s="13"/>
    </row>
    <row r="13" spans="2:7" ht="30" customHeight="1" thickBot="1" x14ac:dyDescent="0.35">
      <c r="B13" s="26"/>
      <c r="C13" s="22"/>
      <c r="D13" s="22"/>
      <c r="E13" s="22"/>
      <c r="F13" s="22"/>
      <c r="G13" s="23"/>
    </row>
    <row r="14" spans="2:7" ht="30" customHeight="1" thickTop="1" x14ac:dyDescent="0.3"/>
  </sheetData>
  <mergeCells count="4">
    <mergeCell ref="C2:C3"/>
    <mergeCell ref="E3:G3"/>
    <mergeCell ref="E2:G2"/>
    <mergeCell ref="D2:D3"/>
  </mergeCells>
  <phoneticPr fontId="25" type="noConversion"/>
  <dataValidations count="20">
    <dataValidation type="list" errorStyle="warning" allowBlank="1" showInputMessage="1" showErrorMessage="1" error="从此列表中选择姓名。选择“取消”，按 Alt+向下键可显现选项，然后按向下键和 Enter 做出选择" sqref="C9:C12" xr:uid="{00000000-0002-0000-0100-000000000000}">
      <formula1>学生列表</formula1>
    </dataValidation>
    <dataValidation allowBlank="1" showInputMessage="1" showErrorMessage="1" prompt="在此工作表中创建班级名单。在单元格 D2、单元格 D4 到 D6、F4 和 F5 以及“学生名单”表中输入详细信息。选择单元格 E2 和 E3，导航到其他工作表" sqref="A1" xr:uid="{00000000-0002-0000-0100-000001000000}"/>
    <dataValidation allowBlank="1" showInputMessage="1" showErrorMessage="1" prompt="此工作表的标题位于此单元格中。在右侧单元格中输入学院名称" sqref="C2:C3" xr:uid="{00000000-0002-0000-0100-000002000000}"/>
    <dataValidation allowBlank="1" showInputMessage="1" showErrorMessage="1" prompt="在此单元格中输入学院名称" sqref="D2" xr:uid="{00000000-0002-0000-0100-000003000000}"/>
    <dataValidation allowBlank="1" showInputMessage="1" showErrorMessage="1" prompt="“学生列表”工作表的导航链接" sqref="E2:G2" xr:uid="{00000000-0002-0000-0100-000004000000}"/>
    <dataValidation allowBlank="1" showInputMessage="1" showErrorMessage="1" prompt="“学生详细信息”工作表的导航链接" sqref="E3:G3" xr:uid="{00000000-0002-0000-0100-000005000000}"/>
    <dataValidation allowBlank="1" showInputMessage="1" showErrorMessage="1" prompt="在右侧单元格中输入课程名称" sqref="C4" xr:uid="{00000000-0002-0000-0100-000006000000}"/>
    <dataValidation allowBlank="1" showInputMessage="1" showErrorMessage="1" prompt="在此单元格中输入课程名称" sqref="D4" xr:uid="{00000000-0002-0000-0100-000007000000}"/>
    <dataValidation allowBlank="1" showInputMessage="1" showErrorMessage="1" prompt="在右侧单元格中输入讲师姓名" sqref="C5" xr:uid="{00000000-0002-0000-0100-000008000000}"/>
    <dataValidation allowBlank="1" showInputMessage="1" showErrorMessage="1" prompt="在右侧单元格中输入注册学生人数" sqref="C6" xr:uid="{00000000-0002-0000-0100-000009000000}"/>
    <dataValidation allowBlank="1" showInputMessage="1" showErrorMessage="1" prompt="在此单元格中输入注册学生人数" sqref="D6" xr:uid="{00000000-0002-0000-0100-00000A000000}"/>
    <dataValidation allowBlank="1" showInputMessage="1" showErrorMessage="1" prompt="在右侧单元格中输入开始日期" sqref="E4" xr:uid="{00000000-0002-0000-0100-00000B000000}"/>
    <dataValidation allowBlank="1" showInputMessage="1" showErrorMessage="1" prompt="在此单元格中输入开始日期" sqref="F4" xr:uid="{00000000-0002-0000-0100-00000C000000}"/>
    <dataValidation allowBlank="1" showInputMessage="1" showErrorMessage="1" prompt="在右侧单元格中输入结束日期" sqref="E5" xr:uid="{00000000-0002-0000-0100-00000D000000}"/>
    <dataValidation allowBlank="1" showInputMessage="1" showErrorMessage="1" prompt="在此单元格中输入结束日期，在从单元格 C8 开始的表中输入学生详细信息" sqref="F5" xr:uid="{00000000-0002-0000-0100-00000E000000}"/>
    <dataValidation allowBlank="1" showInputMessage="1" showErrorMessage="1" prompt="在此标题下的列中选择学生姓名。按 Alt+向下键打开下拉列表，然后按 Enter 进行选择" sqref="C8" xr:uid="{00000000-0002-0000-0100-00000F000000}"/>
    <dataValidation allowBlank="1" showInputMessage="1" showErrorMessage="1" prompt="此标题下的此列中的电子邮件地址会自动更新" sqref="D8" xr:uid="{00000000-0002-0000-0100-000010000000}"/>
    <dataValidation allowBlank="1" showInputMessage="1" showErrorMessage="1" prompt="此标题下的此列中的住宅电话号码会自动更新" sqref="E8" xr:uid="{00000000-0002-0000-0100-000011000000}"/>
    <dataValidation allowBlank="1" showInputMessage="1" showErrorMessage="1" prompt="此标题下的此列中的手机号码会自动更新" sqref="F8" xr:uid="{00000000-0002-0000-0100-000012000000}"/>
    <dataValidation allowBlank="1" showInputMessage="1" showErrorMessage="1" prompt="在此单元格输入讲师姓名" sqref="D5" xr:uid="{00000000-0002-0000-0100-000013000000}"/>
  </dataValidations>
  <hyperlinks>
    <hyperlink ref="E2:G2" location="学生列表!A1" tooltip="选择此处导航到“学生列表”工作表" display="转到学生列表" xr:uid="{00000000-0004-0000-0100-000000000000}"/>
    <hyperlink ref="E3:G3" location="学生详细信息!A1" tooltip="选择此处导航到“学生详细信息”工作表" display="转到学生详细信息" xr:uid="{00000000-0004-0000-0100-000001000000}"/>
  </hyperlinks>
  <printOptions horizontalCentered="1"/>
  <pageMargins left="0.25" right="0.25" top="0.75" bottom="0.75" header="0.3" footer="0.3"/>
  <pageSetup paperSize="9" fitToHeight="0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499984740745262"/>
    <pageSetUpPr autoPageBreaks="0" fitToPage="1"/>
  </sheetPr>
  <dimension ref="A1:E14"/>
  <sheetViews>
    <sheetView showGridLines="0" zoomScaleNormal="100" workbookViewId="0"/>
  </sheetViews>
  <sheetFormatPr defaultRowHeight="30" customHeight="1" x14ac:dyDescent="0.3"/>
  <cols>
    <col min="1" max="2" width="1.6640625" customWidth="1"/>
    <col min="3" max="3" width="40.88671875" customWidth="1"/>
    <col min="4" max="4" width="42.88671875" customWidth="1"/>
    <col min="5" max="5" width="1.6640625" customWidth="1"/>
    <col min="6" max="6" width="1.88671875" customWidth="1"/>
  </cols>
  <sheetData>
    <row r="1" spans="1:5" ht="17.25" thickBot="1" x14ac:dyDescent="0.35">
      <c r="A1" s="15"/>
      <c r="B1" s="15"/>
      <c r="C1" s="15"/>
      <c r="D1" s="15"/>
      <c r="E1" s="15"/>
    </row>
    <row r="2" spans="1:5" ht="32.25" customHeight="1" thickTop="1" x14ac:dyDescent="0.3">
      <c r="A2" s="15"/>
      <c r="B2" s="16"/>
      <c r="C2" s="41" t="s">
        <v>38</v>
      </c>
      <c r="D2" s="43" t="s">
        <v>35</v>
      </c>
      <c r="E2" s="44"/>
    </row>
    <row r="3" spans="1:5" ht="30" customHeight="1" x14ac:dyDescent="0.3">
      <c r="A3" s="15"/>
      <c r="B3" s="17"/>
      <c r="C3" s="42"/>
      <c r="D3" s="55" t="s">
        <v>8</v>
      </c>
      <c r="E3" s="56"/>
    </row>
    <row r="4" spans="1:5" ht="25.5" customHeight="1" x14ac:dyDescent="0.3">
      <c r="A4" s="15"/>
      <c r="B4" s="17"/>
      <c r="C4" s="57" t="s">
        <v>39</v>
      </c>
      <c r="D4" s="57"/>
      <c r="E4" s="9"/>
    </row>
    <row r="5" spans="1:5" ht="30" customHeight="1" x14ac:dyDescent="0.3">
      <c r="A5" s="15"/>
      <c r="B5" s="17"/>
      <c r="C5" s="32" t="s">
        <v>1</v>
      </c>
      <c r="D5" s="33" t="s">
        <v>2</v>
      </c>
      <c r="E5" s="9"/>
    </row>
    <row r="6" spans="1:5" ht="30" customHeight="1" x14ac:dyDescent="0.3">
      <c r="A6" s="15"/>
      <c r="B6" s="17"/>
      <c r="C6" s="34" t="s">
        <v>6</v>
      </c>
      <c r="D6" s="35" t="str">
        <f>IFERROR(VLOOKUP(学生姓名,学生[],2,FALSE),"")</f>
        <v>电子邮件地址</v>
      </c>
      <c r="E6" s="9"/>
    </row>
    <row r="7" spans="1:5" ht="30" customHeight="1" x14ac:dyDescent="0.3">
      <c r="A7" s="15"/>
      <c r="B7" s="17"/>
      <c r="C7" s="34" t="s">
        <v>10</v>
      </c>
      <c r="D7" s="36" t="str">
        <f>IFERROR(VLOOKUP(学生姓名,学生[],3,FALSE),"")</f>
        <v>住宅电话</v>
      </c>
      <c r="E7" s="9"/>
    </row>
    <row r="8" spans="1:5" ht="30" customHeight="1" x14ac:dyDescent="0.3">
      <c r="A8" s="15"/>
      <c r="B8" s="17"/>
      <c r="C8" s="34" t="s">
        <v>11</v>
      </c>
      <c r="D8" s="36" t="str">
        <f>IFERROR(VLOOKUP(学生姓名,学生[],4,FALSE),"")</f>
        <v>移动电话</v>
      </c>
      <c r="E8" s="9"/>
    </row>
    <row r="9" spans="1:5" ht="30" customHeight="1" x14ac:dyDescent="0.3">
      <c r="A9" s="15"/>
      <c r="B9" s="17"/>
      <c r="C9" s="34" t="s">
        <v>12</v>
      </c>
      <c r="D9" s="37" t="str">
        <f>IFERROR(VLOOKUP(学生姓名,学生[],5,FALSE),"")</f>
        <v>日期</v>
      </c>
      <c r="E9" s="9"/>
    </row>
    <row r="10" spans="1:5" ht="30" customHeight="1" x14ac:dyDescent="0.3">
      <c r="A10" s="15"/>
      <c r="B10" s="17"/>
      <c r="C10" s="34" t="s">
        <v>14</v>
      </c>
      <c r="D10" s="38" t="str">
        <f>IFERROR(VLOOKUP(学生姓名,学生[],6,FALSE),"")</f>
        <v>联系人 1</v>
      </c>
      <c r="E10" s="9"/>
    </row>
    <row r="11" spans="1:5" ht="30" customHeight="1" x14ac:dyDescent="0.3">
      <c r="A11" s="15"/>
      <c r="B11" s="17"/>
      <c r="C11" s="34" t="s">
        <v>19</v>
      </c>
      <c r="D11" s="36" t="str">
        <f>IFERROR(VLOOKUP(学生姓名,学生[],7,FALSE),"")</f>
        <v>紧急联系电话</v>
      </c>
      <c r="E11" s="9"/>
    </row>
    <row r="12" spans="1:5" ht="30" customHeight="1" x14ac:dyDescent="0.3">
      <c r="A12" s="15"/>
      <c r="B12" s="17"/>
      <c r="C12" s="34" t="s">
        <v>20</v>
      </c>
      <c r="D12" s="38" t="str">
        <f>IFERROR(VLOOKUP(学生姓名,学生[],8,FALSE),"")</f>
        <v>医师 1</v>
      </c>
      <c r="E12" s="9"/>
    </row>
    <row r="13" spans="1:5" ht="30" customHeight="1" thickBot="1" x14ac:dyDescent="0.35">
      <c r="A13" s="15"/>
      <c r="B13" s="18"/>
      <c r="C13" s="39" t="s">
        <v>25</v>
      </c>
      <c r="D13" s="40" t="str">
        <f>IFERROR(VLOOKUP(学生姓名,学生[],9,FALSE),"")</f>
        <v>医师电话</v>
      </c>
      <c r="E13" s="19"/>
    </row>
    <row r="14" spans="1:5" ht="30" customHeight="1" thickTop="1" x14ac:dyDescent="0.3"/>
  </sheetData>
  <mergeCells count="4">
    <mergeCell ref="D2:E2"/>
    <mergeCell ref="D3:E3"/>
    <mergeCell ref="C2:C3"/>
    <mergeCell ref="C4:D4"/>
  </mergeCells>
  <phoneticPr fontId="25" type="noConversion"/>
  <dataValidations count="23">
    <dataValidation type="list" errorStyle="warning" allowBlank="1" showInputMessage="1" showErrorMessage="1" error="从此列表中选择姓名。选择“取消”，按 Alt+向下键可显现选项，然后按向下键和 Enter 做出选择" prompt="在此单元格中选择学生姓名。按 Alt+向下箭头打开下拉列表，然后按 Enter 进行选择" sqref="D5" xr:uid="{00000000-0002-0000-0200-000000000000}">
      <formula1>学生列表</formula1>
    </dataValidation>
    <dataValidation allowBlank="1" showInputMessage="1" showErrorMessage="1" prompt="在此工作表中获取“学生详细信息”列表。选择单元格 D2，导航到“学生列表”工作表，并选择 D3，导航到“班级名单”工作表" sqref="A1" xr:uid="{00000000-0002-0000-0200-000001000000}"/>
    <dataValidation allowBlank="1" showInputMessage="1" showErrorMessage="1" prompt="此工作表的标题位于此单元格中，提示位于下方单元格中，而标签则位于单元格 C5 到 C13 中。在单元格 D5 中选择学生姓名，在单元格 D5 到 D13 中获取学生详细信息" sqref="C2:C3" xr:uid="{00000000-0002-0000-0200-000002000000}"/>
    <dataValidation allowBlank="1" showInputMessage="1" showErrorMessage="1" prompt="“学生列表”工作表的导航链接" sqref="D2:E2" xr:uid="{00000000-0002-0000-0200-000003000000}"/>
    <dataValidation allowBlank="1" showInputMessage="1" showErrorMessage="1" prompt="“班级名单”工作表的导航链接" sqref="D3:E3" xr:uid="{00000000-0002-0000-0200-000004000000}"/>
    <dataValidation allowBlank="1" showInputMessage="1" showErrorMessage="1" prompt="在右侧单元格中选择学生姓名" sqref="C5" xr:uid="{00000000-0002-0000-0200-000005000000}"/>
    <dataValidation allowBlank="1" showInputMessage="1" showErrorMessage="1" prompt="右侧单元格中的电子邮件地址会自动更新" sqref="C6" xr:uid="{00000000-0002-0000-0200-000006000000}"/>
    <dataValidation allowBlank="1" showInputMessage="1" showErrorMessage="1" prompt="此单元格中的电子邮件地址会自动更新" sqref="D6" xr:uid="{00000000-0002-0000-0200-000007000000}"/>
    <dataValidation allowBlank="1" showInputMessage="1" showErrorMessage="1" prompt="右侧单元格中的住宅电话号码会自动更新" sqref="C7" xr:uid="{00000000-0002-0000-0200-000008000000}"/>
    <dataValidation allowBlank="1" showInputMessage="1" showErrorMessage="1" prompt="此单元格中的住宅电话号码会自动更新" sqref="D7" xr:uid="{00000000-0002-0000-0200-000009000000}"/>
    <dataValidation allowBlank="1" showInputMessage="1" showErrorMessage="1" prompt="右侧单元格中的手机号码会自动更新" sqref="C8" xr:uid="{00000000-0002-0000-0200-00000A000000}"/>
    <dataValidation allowBlank="1" showInputMessage="1" showErrorMessage="1" prompt="此单元格中的手机号码会自动更新" sqref="D8" xr:uid="{00000000-0002-0000-0200-00000B000000}"/>
    <dataValidation allowBlank="1" showInputMessage="1" showErrorMessage="1" prompt="右侧单元格中的出生日期会自动更新" sqref="C9" xr:uid="{00000000-0002-0000-0200-00000C000000}"/>
    <dataValidation allowBlank="1" showInputMessage="1" showErrorMessage="1" prompt="此单元格中的出生日期会自动更新" sqref="D9" xr:uid="{00000000-0002-0000-0200-00000D000000}"/>
    <dataValidation allowBlank="1" showInputMessage="1" showErrorMessage="1" prompt="右侧单元格中的紧急联系人姓名会自动更新" sqref="C10" xr:uid="{00000000-0002-0000-0200-00000E000000}"/>
    <dataValidation allowBlank="1" showInputMessage="1" showErrorMessage="1" prompt="此单元格中的紧急联系人姓名会自动更新" sqref="D10" xr:uid="{00000000-0002-0000-0200-00000F000000}"/>
    <dataValidation allowBlank="1" showInputMessage="1" showErrorMessage="1" prompt="右侧单元格中的紧急联系电话号码会自动更新" sqref="C11" xr:uid="{00000000-0002-0000-0200-000010000000}"/>
    <dataValidation allowBlank="1" showInputMessage="1" showErrorMessage="1" prompt="此单元格中的紧急联系电话号码会自动更新" sqref="D11" xr:uid="{00000000-0002-0000-0200-000011000000}"/>
    <dataValidation allowBlank="1" showInputMessage="1" showErrorMessage="1" prompt="右侧单元格中的医师姓名会自动更新" sqref="C12" xr:uid="{00000000-0002-0000-0200-000012000000}"/>
    <dataValidation allowBlank="1" showInputMessage="1" showErrorMessage="1" prompt="此单元格中的医师姓名会自动更新" sqref="D12" xr:uid="{00000000-0002-0000-0200-000013000000}"/>
    <dataValidation allowBlank="1" showInputMessage="1" showErrorMessage="1" prompt="右侧单元格中的医师电话号码会自动更新" sqref="C13" xr:uid="{00000000-0002-0000-0200-000014000000}"/>
    <dataValidation allowBlank="1" showInputMessage="1" showErrorMessage="1" prompt="此单元格中的医师电话号码会自动更新" sqref="D13" xr:uid="{00000000-0002-0000-0200-000015000000}"/>
    <dataValidation allowBlank="1" showInputMessage="1" showErrorMessage="1" prompt="提示位于此单元格中" sqref="C4:D4" xr:uid="{00000000-0002-0000-0200-000016000000}"/>
  </dataValidations>
  <hyperlinks>
    <hyperlink ref="D2:E2" location="学生列表!A1" tooltip="选择此处导航到“学生列表”工作表" display="转到学生列表" xr:uid="{00000000-0004-0000-0200-000000000000}"/>
    <hyperlink ref="D3:E3" location="班级名单!A1" tooltip="选择此处导航到“班级名单”工作表" display="转到班级花名册" xr:uid="{00000000-0004-0000-0200-000001000000}"/>
  </hyperlinks>
  <printOptions horizontalCentered="1"/>
  <pageMargins left="0.25" right="0.25" top="0.75" bottom="0.75" header="0.3" footer="0.3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8</vt:i4>
      </vt:variant>
    </vt:vector>
  </HeadingPairs>
  <TitlesOfParts>
    <vt:vector size="11" baseType="lpstr">
      <vt:lpstr>学生列表</vt:lpstr>
      <vt:lpstr>班级名单</vt:lpstr>
      <vt:lpstr>学生详细信息</vt:lpstr>
      <vt:lpstr>学生列表!Print_Titles</vt:lpstr>
      <vt:lpstr>标题1</vt:lpstr>
      <vt:lpstr>标题2</vt:lpstr>
      <vt:lpstr>行标题区域1..D13</vt:lpstr>
      <vt:lpstr>行标题区域1..D6</vt:lpstr>
      <vt:lpstr>行标题区域2..F5</vt:lpstr>
      <vt:lpstr>学生列表</vt:lpstr>
      <vt:lpstr>学生姓名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2018-02-27T05:07:36Z</dcterms:created>
  <dcterms:modified xsi:type="dcterms:W3CDTF">2018-09-13T04:04:42Z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v-audrs@microsoft.com</vt:lpwstr>
  </property>
  <property fmtid="{D5CDD505-2E9C-101B-9397-08002B2CF9AE}" pid="5" name="MSIP_Label_f42aa342-8706-4288-bd11-ebb85995028c_SetDate">
    <vt:lpwstr>2018-02-27T05:07:41.2030178Z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