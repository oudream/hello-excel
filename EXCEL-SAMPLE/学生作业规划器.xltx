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11"/>
  <workbookPr codeName="ThisWorkbook"/>
  <mc:AlternateContent xmlns:mc="http://schemas.openxmlformats.org/markup-compatibility/2006">
    <mc:Choice Requires="x15">
      <x15ac:absPath xmlns:x15ac="http://schemas.microsoft.com/office/spreadsheetml/2010/11/ac" url="\\deli\projects\Office_Online\technicians\ABrunner\zzz\zh-CN\target\"/>
    </mc:Choice>
  </mc:AlternateContent>
  <bookViews>
    <workbookView xWindow="0" yWindow="0" windowWidth="25200" windowHeight="11760"/>
  </bookViews>
  <sheets>
    <sheet name="作业" sheetId="6" r:id="rId1"/>
    <sheet name="月视图" sheetId="3" r:id="rId2"/>
    <sheet name="周视图" sheetId="5" r:id="rId3"/>
  </sheets>
  <definedNames>
    <definedName name="ColumnTitle1">作业[[#Headers],[描述]]</definedName>
    <definedName name="LastDay_Week">MAX(周视图!$B$5:$H$10)</definedName>
    <definedName name="LastDayOfMonth_Week">DAY(EOMONTH(DATE(周视图!$C$3,WkMonthNum,1),0))</definedName>
    <definedName name="MoMonth">月视图!$B$3</definedName>
    <definedName name="MoMonthNum">MONTH(DATEVALUE(MoMonth&amp;"/1"))</definedName>
    <definedName name="MoWeek2">月视图!$B$8:$H$9</definedName>
    <definedName name="MoWeek3">月视图!$B$10:$H$11</definedName>
    <definedName name="MoWeek4">月视图!$B$12:$H$13</definedName>
    <definedName name="MoWeek5">月视图!$B$14:$H$15</definedName>
    <definedName name="MoYear">月视图!$C$3</definedName>
    <definedName name="_xlnm.Print_Titles" localSheetId="0">作业!$3:$3</definedName>
    <definedName name="WkMonth" localSheetId="2">周视图!$B$3</definedName>
    <definedName name="WkMonthNum">MONTH(DATEVALUE(周视图!WkMonth&amp;"/1"))</definedName>
    <definedName name="WkMonthView">周视图!$B$5:$H$10</definedName>
    <definedName name="WkWeek">LEFT(RIGHT(周视图!$D$3,3),2)</definedName>
    <definedName name="WkYear" localSheetId="2">周视图!$C$3</definedName>
  </definedNames>
  <calcPr calcId="162913"/>
</workbook>
</file>

<file path=xl/calcChain.xml><?xml version="1.0" encoding="utf-8"?>
<calcChain xmlns="http://schemas.openxmlformats.org/spreadsheetml/2006/main">
  <c r="C4" i="6" l="1"/>
  <c r="C5" i="6"/>
  <c r="C6" i="6"/>
  <c r="C7" i="6"/>
  <c r="C8" i="6"/>
  <c r="C9" i="6"/>
  <c r="C10" i="6"/>
  <c r="C11" i="6"/>
  <c r="C12" i="6"/>
  <c r="C13" i="6"/>
  <c r="C14" i="6"/>
  <c r="C15" i="6"/>
  <c r="C3" i="5" l="1"/>
  <c r="F5" i="5" l="1"/>
  <c r="G5" i="5" s="1"/>
  <c r="H5" i="5" s="1"/>
  <c r="B5" i="5"/>
  <c r="C5" i="5" s="1"/>
  <c r="D5" i="5" s="1"/>
  <c r="E5" i="5" s="1"/>
  <c r="C3" i="3"/>
  <c r="B6" i="3" l="1"/>
  <c r="B7" i="3" s="1"/>
  <c r="B6" i="5"/>
  <c r="C6" i="3" l="1"/>
  <c r="C7" i="3" s="1"/>
  <c r="C6" i="5"/>
  <c r="D6" i="3" l="1"/>
  <c r="D7" i="3" s="1"/>
  <c r="D6" i="5"/>
  <c r="E6" i="3" l="1"/>
  <c r="E7" i="3" s="1"/>
  <c r="E6" i="5"/>
  <c r="F6" i="3" l="1"/>
  <c r="F7" i="3" s="1"/>
  <c r="F6" i="5"/>
  <c r="G6" i="3" l="1"/>
  <c r="G7" i="3" s="1"/>
  <c r="G6" i="5"/>
  <c r="H6" i="3" l="1"/>
  <c r="H7" i="3" s="1"/>
  <c r="H6" i="5"/>
  <c r="B8" i="3" l="1"/>
  <c r="B9" i="3" s="1"/>
  <c r="B7" i="5"/>
  <c r="C8" i="3" l="1"/>
  <c r="C9" i="3" s="1"/>
  <c r="C7" i="5"/>
  <c r="D8" i="3" l="1"/>
  <c r="D9" i="3" s="1"/>
  <c r="D7" i="5"/>
  <c r="E8" i="3" l="1"/>
  <c r="E9" i="3" s="1"/>
  <c r="E7" i="5"/>
  <c r="F8" i="3" l="1"/>
  <c r="F9" i="3" s="1"/>
  <c r="F7" i="5"/>
  <c r="G8" i="3" l="1"/>
  <c r="G9" i="3" s="1"/>
  <c r="G7" i="5"/>
  <c r="H8" i="3" l="1"/>
  <c r="H9" i="3" s="1"/>
  <c r="H7" i="5"/>
  <c r="B10" i="3" l="1"/>
  <c r="B11" i="3" s="1"/>
  <c r="B8" i="5"/>
  <c r="C10" i="3" l="1"/>
  <c r="C11" i="3" s="1"/>
  <c r="C8" i="5"/>
  <c r="D10" i="3" l="1"/>
  <c r="D11" i="3" s="1"/>
  <c r="D8" i="5"/>
  <c r="E10" i="3" l="1"/>
  <c r="E11" i="3" s="1"/>
  <c r="E8" i="5"/>
  <c r="F10" i="3" l="1"/>
  <c r="F11" i="3" s="1"/>
  <c r="F8" i="5"/>
  <c r="G10" i="3" l="1"/>
  <c r="G11" i="3" s="1"/>
  <c r="G8" i="5"/>
  <c r="H10" i="3" l="1"/>
  <c r="H11" i="3" s="1"/>
  <c r="H8" i="5"/>
  <c r="B12" i="3" l="1"/>
  <c r="B13" i="3" s="1"/>
  <c r="B9" i="5"/>
  <c r="C12" i="3" l="1"/>
  <c r="C13" i="3" s="1"/>
  <c r="C9" i="5"/>
  <c r="D12" i="3" l="1"/>
  <c r="D13" i="3" s="1"/>
  <c r="D9" i="5"/>
  <c r="E12" i="3" l="1"/>
  <c r="E13" i="3" s="1"/>
  <c r="E9" i="5"/>
  <c r="F12" i="3" l="1"/>
  <c r="F13" i="3" s="1"/>
  <c r="F9" i="5"/>
  <c r="G12" i="3" l="1"/>
  <c r="G13" i="3" s="1"/>
  <c r="G9" i="5"/>
  <c r="H12" i="3" l="1"/>
  <c r="H13" i="3" s="1"/>
  <c r="H9" i="5"/>
  <c r="B14" i="3" l="1"/>
  <c r="B15" i="3" s="1"/>
  <c r="B10" i="5"/>
  <c r="C14" i="3" l="1"/>
  <c r="C15" i="3" s="1"/>
  <c r="C10" i="5"/>
  <c r="B14" i="5"/>
  <c r="B15" i="5" s="1"/>
  <c r="D14" i="3" l="1"/>
  <c r="D15" i="3" s="1"/>
  <c r="B12" i="5"/>
  <c r="B13" i="5" s="1"/>
  <c r="D10" i="5"/>
  <c r="C14" i="5"/>
  <c r="C15" i="5" s="1"/>
  <c r="E14" i="3" l="1"/>
  <c r="E15" i="3" s="1"/>
  <c r="E10" i="5"/>
  <c r="D14" i="5"/>
  <c r="D15" i="5" s="1"/>
  <c r="C12" i="5"/>
  <c r="C13" i="5" s="1"/>
  <c r="F14" i="3" l="1"/>
  <c r="F15" i="3" s="1"/>
  <c r="D12" i="5"/>
  <c r="D13" i="5" s="1"/>
  <c r="F10" i="5"/>
  <c r="E14" i="5"/>
  <c r="E15" i="5" s="1"/>
  <c r="G14" i="3" l="1"/>
  <c r="G15" i="3" s="1"/>
  <c r="G10" i="5"/>
  <c r="F14" i="5"/>
  <c r="F15" i="5" s="1"/>
  <c r="E12" i="5"/>
  <c r="E13" i="5" s="1"/>
  <c r="H14" i="3" l="1"/>
  <c r="H15" i="3" s="1"/>
  <c r="F12" i="5"/>
  <c r="F13" i="5" s="1"/>
  <c r="H10" i="5"/>
  <c r="G14" i="5"/>
  <c r="G15" i="5" s="1"/>
  <c r="B16" i="3" l="1"/>
  <c r="B17" i="3" s="1"/>
  <c r="H14" i="5"/>
  <c r="H15" i="5" s="1"/>
  <c r="G12" i="5"/>
  <c r="G13" i="5" s="1"/>
  <c r="C16" i="3" l="1"/>
  <c r="C17" i="3" s="1"/>
  <c r="B16" i="5" a="1"/>
  <c r="B16" i="5" s="1"/>
  <c r="B17" i="5" s="1"/>
  <c r="H12" i="5"/>
  <c r="H13" i="5" s="1"/>
  <c r="D16" i="3" l="1"/>
  <c r="D17" i="3" s="1"/>
  <c r="C16" i="5" a="1"/>
  <c r="C16" i="5" s="1"/>
  <c r="C17" i="5" s="1"/>
  <c r="E16" i="3" l="1"/>
  <c r="E17" i="3" s="1"/>
  <c r="D16" i="5" a="1"/>
  <c r="D16" i="5" s="1"/>
  <c r="D17" i="5" s="1"/>
  <c r="F16" i="3" l="1"/>
  <c r="F17" i="3" s="1"/>
  <c r="E16" i="5" a="1"/>
  <c r="E16" i="5" s="1"/>
  <c r="E17" i="5" s="1"/>
  <c r="F16" i="5" a="1"/>
  <c r="F16" i="5" s="1"/>
  <c r="F17" i="5" s="1"/>
  <c r="G16" i="3" l="1"/>
  <c r="G17" i="3" s="1"/>
  <c r="G16" i="5" a="1"/>
  <c r="G16" i="5" s="1"/>
  <c r="G17" i="5" s="1"/>
  <c r="H16" i="3" l="1"/>
  <c r="H17" i="3" s="1"/>
  <c r="H16" i="5" a="1"/>
  <c r="H16" i="5" s="1"/>
  <c r="H17" i="5" s="1"/>
</calcChain>
</file>

<file path=xl/sharedStrings.xml><?xml version="1.0" encoding="utf-8"?>
<sst xmlns="http://schemas.openxmlformats.org/spreadsheetml/2006/main" count="43" uniqueCount="33">
  <si>
    <t>月视图</t>
  </si>
  <si>
    <t xml:space="preserve"> 作业</t>
  </si>
  <si>
    <t>描述</t>
  </si>
  <si>
    <t>作业 1</t>
  </si>
  <si>
    <t>作业 2</t>
  </si>
  <si>
    <t>作业 3</t>
  </si>
  <si>
    <t>作业 4</t>
  </si>
  <si>
    <t>作业 5</t>
  </si>
  <si>
    <t>作业 6</t>
  </si>
  <si>
    <t>作业 7</t>
  </si>
  <si>
    <t>作业 8</t>
  </si>
  <si>
    <t>作业 9</t>
  </si>
  <si>
    <t>作业 10</t>
  </si>
  <si>
    <t>作业 11</t>
  </si>
  <si>
    <t>作业 12</t>
  </si>
  <si>
    <t>周视图</t>
  </si>
  <si>
    <t>截止日期</t>
  </si>
  <si>
    <t>作业</t>
  </si>
  <si>
    <t>选择月份:</t>
  </si>
  <si>
    <t xml:space="preserve"> 月视图</t>
  </si>
  <si>
    <t>星期日</t>
  </si>
  <si>
    <t>输入年份:</t>
  </si>
  <si>
    <t>星期一</t>
  </si>
  <si>
    <t>星期二</t>
  </si>
  <si>
    <t>星期三</t>
  </si>
  <si>
    <t>星期四</t>
  </si>
  <si>
    <t>星期五</t>
  </si>
  <si>
    <t>星期六</t>
  </si>
  <si>
    <t xml:space="preserve"> 周视图</t>
  </si>
  <si>
    <t>选择周数:</t>
  </si>
  <si>
    <t>第 1 周</t>
  </si>
  <si>
    <t>月视图</t>
    <phoneticPr fontId="12" type="noConversion"/>
  </si>
  <si>
    <t>周视图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</si>
</sst>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22" x14ac:knownFonts="1">
    <font>
      <sz val="11"/>
      <color theme="1" tint="0.14993743705557422"/>
      <name val="黑体"/>
      <family val="2"/>
      <scheme val="minor"/>
    </font>
    <font>
      <b/>
      <sz val="11"/>
      <color theme="3"/>
      <name val="黑体"/>
      <family val="2"/>
      <scheme val="minor"/>
    </font>
    <font>
      <b/>
      <sz val="20"/>
      <color theme="0"/>
      <name val="黑体"/>
      <family val="2"/>
      <scheme val="major"/>
    </font>
    <font>
      <sz val="14"/>
      <color theme="0"/>
      <name val="黑体"/>
      <family val="2"/>
      <scheme val="minor"/>
    </font>
    <font>
      <sz val="14"/>
      <color theme="0"/>
      <name val="黑体"/>
      <family val="2"/>
      <scheme val="major"/>
    </font>
    <font>
      <sz val="11"/>
      <color theme="1" tint="0.14993743705557422"/>
      <name val="黑体"/>
      <family val="2"/>
      <scheme val="minor"/>
    </font>
    <font>
      <b/>
      <sz val="20"/>
      <color theme="0"/>
      <name val="黑体"/>
      <family val="2"/>
      <scheme val="minor"/>
    </font>
    <font>
      <sz val="11"/>
      <color theme="1" tint="0.14996795556505021"/>
      <name val="黑体"/>
      <family val="1"/>
      <scheme val="minor"/>
    </font>
    <font>
      <sz val="22"/>
      <color theme="4" tint="-0.24994659260841701"/>
      <name val="黑体"/>
      <family val="2"/>
      <scheme val="major"/>
    </font>
    <font>
      <sz val="22"/>
      <color theme="1" tint="0.499984740745262"/>
      <name val="黑体"/>
      <family val="2"/>
      <scheme val="major"/>
    </font>
    <font>
      <sz val="11"/>
      <color theme="1" tint="0.34998626667073579"/>
      <name val="黑体"/>
      <family val="1"/>
      <scheme val="minor"/>
    </font>
    <font>
      <b/>
      <sz val="20"/>
      <color theme="1"/>
      <name val="黑体"/>
      <family val="2"/>
      <scheme val="major"/>
    </font>
    <font>
      <sz val="9"/>
      <name val="黑体"/>
      <family val="3"/>
      <charset val="134"/>
      <scheme val="minor"/>
    </font>
    <font>
      <sz val="11"/>
      <color theme="1" tint="0.14993743705557422"/>
      <name val="Microsoft YaHei UI"/>
      <family val="2"/>
      <charset val="134"/>
    </font>
    <font>
      <sz val="14"/>
      <color theme="0"/>
      <name val="Microsoft YaHei UI"/>
      <family val="2"/>
      <charset val="134"/>
    </font>
    <font>
      <b/>
      <sz val="20"/>
      <color theme="0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sz val="22"/>
      <color theme="4" tint="-0.24994659260841701"/>
      <name val="Microsoft YaHei UI"/>
      <family val="2"/>
      <charset val="134"/>
    </font>
    <font>
      <sz val="22"/>
      <color theme="1" tint="0.499984740745262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9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0" tint="-0.14996795556505021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18">
    <xf numFmtId="0" fontId="0" fillId="0" borderId="0"/>
    <xf numFmtId="0" fontId="1" fillId="7" borderId="0" applyNumberFormat="0" applyBorder="0" applyAlignment="0" applyProtection="0"/>
    <xf numFmtId="0" fontId="2" fillId="3" borderId="8" applyNumberFormat="0" applyAlignment="0" applyProtection="0"/>
    <xf numFmtId="0" fontId="2" fillId="5" borderId="8" applyNumberFormat="0" applyAlignment="0" applyProtection="0"/>
    <xf numFmtId="0" fontId="6" fillId="6" borderId="8" applyNumberFormat="0" applyAlignment="0" applyProtection="0"/>
    <xf numFmtId="0" fontId="11" fillId="0" borderId="0" applyNumberFormat="0" applyFill="0" applyBorder="0" applyAlignment="0" applyProtection="0"/>
    <xf numFmtId="0" fontId="4" fillId="4" borderId="6" applyNumberFormat="0" applyAlignment="0">
      <alignment horizontal="left" vertical="center"/>
    </xf>
    <xf numFmtId="0" fontId="3" fillId="5" borderId="6" applyNumberFormat="0" applyAlignment="0">
      <alignment horizontal="center" vertical="center"/>
    </xf>
    <xf numFmtId="0" fontId="3" fillId="6" borderId="7" applyNumberFormat="0" applyAlignment="0">
      <alignment horizontal="center" vertical="center"/>
    </xf>
    <xf numFmtId="0" fontId="5" fillId="0" borderId="0">
      <alignment horizontal="left" vertical="center" wrapText="1" indent="1"/>
    </xf>
    <xf numFmtId="0" fontId="8" fillId="0" borderId="3">
      <alignment vertical="center"/>
    </xf>
    <xf numFmtId="0" fontId="7" fillId="0" borderId="4">
      <alignment horizontal="center" vertical="center"/>
    </xf>
    <xf numFmtId="0" fontId="7" fillId="2" borderId="4">
      <alignment horizontal="center" vertical="center"/>
    </xf>
    <xf numFmtId="0" fontId="8" fillId="2" borderId="3">
      <alignment vertical="center"/>
    </xf>
    <xf numFmtId="0" fontId="4" fillId="5" borderId="2">
      <alignment horizontal="left" vertical="center" indent="1"/>
    </xf>
    <xf numFmtId="0" fontId="4" fillId="6" borderId="2">
      <alignment horizontal="left" vertical="center" indent="1"/>
    </xf>
    <xf numFmtId="0" fontId="9" fillId="2" borderId="4">
      <alignment vertical="center"/>
    </xf>
    <xf numFmtId="0" fontId="10" fillId="2" borderId="5">
      <alignment horizontal="center" vertical="center"/>
    </xf>
  </cellStyleXfs>
  <cellXfs count="23">
    <xf numFmtId="0" fontId="0" fillId="0" borderId="0" xfId="0"/>
    <xf numFmtId="0" fontId="3" fillId="6" borderId="7" xfId="8" applyAlignment="1">
      <alignment horizontal="center" vertical="center"/>
    </xf>
    <xf numFmtId="0" fontId="13" fillId="0" borderId="0" xfId="0" applyFont="1"/>
    <xf numFmtId="0" fontId="14" fillId="5" borderId="6" xfId="7" applyFont="1" applyAlignment="1">
      <alignment horizontal="center" vertical="center"/>
    </xf>
    <xf numFmtId="0" fontId="13" fillId="0" borderId="0" xfId="0" applyFont="1" applyFill="1"/>
    <xf numFmtId="0" fontId="14" fillId="4" borderId="6" xfId="6" applyFont="1" applyAlignment="1">
      <alignment horizontal="center" vertical="center"/>
    </xf>
    <xf numFmtId="0" fontId="14" fillId="6" borderId="7" xfId="8" applyFont="1" applyAlignment="1">
      <alignment horizontal="center" vertical="center"/>
    </xf>
    <xf numFmtId="0" fontId="18" fillId="7" borderId="1" xfId="1" applyFont="1" applyBorder="1" applyAlignment="1">
      <alignment horizontal="left" vertical="center" indent="1"/>
    </xf>
    <xf numFmtId="0" fontId="14" fillId="5" borderId="2" xfId="14" applyFont="1">
      <alignment horizontal="left" vertical="center" indent="1"/>
    </xf>
    <xf numFmtId="0" fontId="19" fillId="0" borderId="3" xfId="10" applyFont="1">
      <alignment vertical="center"/>
    </xf>
    <xf numFmtId="0" fontId="16" fillId="0" borderId="4" xfId="11" applyFont="1">
      <alignment horizontal="center" vertical="center"/>
    </xf>
    <xf numFmtId="0" fontId="19" fillId="2" borderId="3" xfId="13" applyFont="1">
      <alignment vertical="center"/>
    </xf>
    <xf numFmtId="0" fontId="16" fillId="2" borderId="4" xfId="12" applyFont="1">
      <alignment horizontal="center" vertical="center"/>
    </xf>
    <xf numFmtId="0" fontId="17" fillId="0" borderId="0" xfId="0" applyFont="1" applyProtection="1"/>
    <xf numFmtId="0" fontId="14" fillId="6" borderId="2" xfId="15" applyFont="1">
      <alignment horizontal="left" vertical="center" indent="1"/>
    </xf>
    <xf numFmtId="0" fontId="20" fillId="2" borderId="4" xfId="16" applyFont="1">
      <alignment vertical="center"/>
    </xf>
    <xf numFmtId="0" fontId="21" fillId="2" borderId="5" xfId="17" applyFont="1">
      <alignment horizontal="center" vertical="center"/>
    </xf>
    <xf numFmtId="176" fontId="13" fillId="0" borderId="0" xfId="0" applyNumberFormat="1" applyFont="1" applyAlignment="1">
      <alignment horizontal="right" vertical="center" indent="2"/>
    </xf>
    <xf numFmtId="0" fontId="15" fillId="3" borderId="9" xfId="2" applyFont="1" applyBorder="1" applyAlignment="1">
      <alignment horizontal="left" vertical="center"/>
    </xf>
    <xf numFmtId="0" fontId="13" fillId="0" borderId="0" xfId="0" applyFont="1" applyAlignment="1">
      <alignment horizontal="left" vertical="center" indent="1"/>
    </xf>
    <xf numFmtId="176" fontId="15" fillId="3" borderId="9" xfId="2" applyNumberFormat="1" applyFont="1" applyBorder="1" applyAlignment="1">
      <alignment vertical="center"/>
    </xf>
    <xf numFmtId="0" fontId="15" fillId="5" borderId="8" xfId="3" applyFont="1" applyAlignment="1">
      <alignment horizontal="left" vertical="center"/>
    </xf>
    <xf numFmtId="0" fontId="15" fillId="6" borderId="8" xfId="4" applyFont="1" applyAlignment="1">
      <alignment horizontal="left" vertical="center"/>
    </xf>
  </cellXfs>
  <cellStyles count="18">
    <cellStyle name="标题" xfId="5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1" builtinId="19" customBuiltin="1"/>
    <cellStyle name="常规" xfId="0" builtinId="0" customBuiltin="1"/>
    <cellStyle name="带阴影的每日备注" xfId="12"/>
    <cellStyle name="带阴影的日期" xfId="13"/>
    <cellStyle name="每日备注" xfId="11"/>
    <cellStyle name="日期" xfId="10"/>
    <cellStyle name="月视图" xfId="7"/>
    <cellStyle name="月视图工作日" xfId="14"/>
    <cellStyle name="周视图" xfId="8"/>
    <cellStyle name="周视图 带阴影的每日备注" xfId="17"/>
    <cellStyle name="周视图 带阴影的日期" xfId="16"/>
    <cellStyle name="周视图工作日" xfId="15"/>
    <cellStyle name="作业描述" xfId="9"/>
    <cellStyle name="作业颜色" xfId="6"/>
  </cellStyles>
  <dxfs count="8">
    <dxf>
      <font>
        <strike val="0"/>
        <outline val="0"/>
        <shadow val="0"/>
        <u val="none"/>
        <vertAlign val="baseline"/>
        <sz val="11"/>
        <color theme="1" tint="0.14993743705557422"/>
        <name val="Microsoft YaHei UI"/>
        <family val="2"/>
        <charset val="134"/>
        <scheme val="none"/>
      </font>
      <numFmt numFmtId="176" formatCode="[$-F800]dddd\,\ mmmm\ dd\,\ yyyy"/>
      <alignment horizontal="right" vertical="center" textRotation="0" wrapText="0" indent="2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3743705557422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border outline="0">
        <top style="thick">
          <color theme="0"/>
        </top>
      </border>
    </dxf>
    <dxf>
      <font>
        <strike val="0"/>
        <outline val="0"/>
        <shadow val="0"/>
        <u val="none"/>
        <vertAlign val="baseline"/>
        <sz val="11"/>
        <color theme="1" tint="0.14993743705557422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 tint="0.14993743705557422"/>
        <name val="Microsoft YaHei UI"/>
        <family val="2"/>
        <charset val="134"/>
        <scheme val="none"/>
      </font>
    </dxf>
    <dxf>
      <font>
        <b val="0"/>
        <i val="0"/>
        <color theme="1" tint="0.14996795556505021"/>
      </font>
      <fill>
        <patternFill patternType="none">
          <fgColor auto="1"/>
          <bgColor auto="1"/>
        </patternFill>
      </fill>
    </dxf>
    <dxf>
      <font>
        <b val="0"/>
        <i val="0"/>
        <color theme="0"/>
      </font>
      <fill>
        <patternFill patternType="solid">
          <fgColor theme="4"/>
          <bgColor theme="5"/>
        </patternFill>
      </fill>
      <border>
        <left/>
        <right/>
        <top style="thick">
          <color theme="0"/>
        </top>
        <bottom/>
        <vertical style="thick">
          <color theme="0"/>
        </vertical>
        <horizontal/>
      </border>
    </dxf>
    <dxf>
      <font>
        <b val="0"/>
        <i val="0"/>
        <color theme="1" tint="0.14996795556505021"/>
      </font>
      <fill>
        <patternFill>
          <bgColor theme="0" tint="-4.9989318521683403E-2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学生规划器" pivot="0" count="3">
      <tableStyleElement type="wholeTable" dxfId="7"/>
      <tableStyleElement type="headerRow" dxfId="6"/>
      <tableStyleElement type="first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1209675</xdr:colOff>
      <xdr:row>1</xdr:row>
      <xdr:rowOff>57150</xdr:rowOff>
    </xdr:from>
    <xdr:ext cx="266700" cy="266700"/>
    <xdr:pic>
      <xdr:nvPicPr>
        <xdr:cNvPr id="3" name="作业图标" descr="铅笔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095875" y="2762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1028700</xdr:colOff>
      <xdr:row>3</xdr:row>
      <xdr:rowOff>66675</xdr:rowOff>
    </xdr:from>
    <xdr:to>
      <xdr:col>7</xdr:col>
      <xdr:colOff>1295400</xdr:colOff>
      <xdr:row>3</xdr:row>
      <xdr:rowOff>333375</xdr:rowOff>
    </xdr:to>
    <xdr:pic>
      <xdr:nvPicPr>
        <xdr:cNvPr id="25" name="月视图图标" descr="日历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9410700" y="8572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1028700</xdr:colOff>
      <xdr:row>3</xdr:row>
      <xdr:rowOff>57150</xdr:rowOff>
    </xdr:from>
    <xdr:to>
      <xdr:col>7</xdr:col>
      <xdr:colOff>1295400</xdr:colOff>
      <xdr:row>3</xdr:row>
      <xdr:rowOff>323850</xdr:rowOff>
    </xdr:to>
    <xdr:pic>
      <xdr:nvPicPr>
        <xdr:cNvPr id="25" name="周视图图标" descr="放大镜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9410700" y="8572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作业" displayName="作业" ref="B3:C15" totalsRowShown="0" headerRowDxfId="4" dataDxfId="3" tableBorderDxfId="2">
  <autoFilter ref="B3:C15"/>
  <tableColumns count="2">
    <tableColumn id="1" name="描述" dataDxfId="1"/>
    <tableColumn id="2" name="截止日期" dataDxfId="0"/>
  </tableColumns>
  <tableStyleInfo name="学生规划器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">
  <a:themeElements>
    <a:clrScheme name="Student Plann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EBBB6"/>
      </a:accent1>
      <a:accent2>
        <a:srgbClr val="73549A"/>
      </a:accent2>
      <a:accent3>
        <a:srgbClr val="B50B1B"/>
      </a:accent3>
      <a:accent4>
        <a:srgbClr val="E8950E"/>
      </a:accent4>
      <a:accent5>
        <a:srgbClr val="68B82B"/>
      </a:accent5>
      <a:accent6>
        <a:srgbClr val="1D86CD"/>
      </a:accent6>
      <a:hlink>
        <a:srgbClr val="1D86CD"/>
      </a:hlink>
      <a:folHlink>
        <a:srgbClr val="73549A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Urban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 fitToPage="1"/>
  </sheetPr>
  <dimension ref="A1:C15"/>
  <sheetViews>
    <sheetView showGridLines="0" tabSelected="1" zoomScaleNormal="100" workbookViewId="0"/>
  </sheetViews>
  <sheetFormatPr defaultRowHeight="30" customHeight="1" x14ac:dyDescent="0.3"/>
  <cols>
    <col min="1" max="1" width="2.625" style="2" customWidth="1"/>
    <col min="2" max="2" width="55.875" style="2" customWidth="1"/>
    <col min="3" max="3" width="23.25" style="17" customWidth="1"/>
    <col min="4" max="4" width="2.625" style="2" customWidth="1"/>
    <col min="5" max="6" width="18" style="2" customWidth="1"/>
    <col min="7" max="16384" width="9" style="2"/>
  </cols>
  <sheetData>
    <row r="1" spans="1:3" ht="45" customHeight="1" thickBot="1" x14ac:dyDescent="0.35">
      <c r="B1" s="3" t="s">
        <v>31</v>
      </c>
      <c r="C1" s="1" t="s">
        <v>15</v>
      </c>
    </row>
    <row r="2" spans="1:3" ht="35.1" customHeight="1" thickTop="1" x14ac:dyDescent="0.3">
      <c r="A2" s="4"/>
      <c r="B2" s="18" t="s">
        <v>1</v>
      </c>
      <c r="C2" s="20"/>
    </row>
    <row r="3" spans="1:3" ht="24.95" customHeight="1" x14ac:dyDescent="0.3">
      <c r="B3" s="2" t="s">
        <v>2</v>
      </c>
      <c r="C3" s="2" t="s">
        <v>16</v>
      </c>
    </row>
    <row r="4" spans="1:3" ht="30" customHeight="1" x14ac:dyDescent="0.3">
      <c r="B4" s="19" t="s">
        <v>3</v>
      </c>
      <c r="C4" s="17">
        <f ca="1">TODAY()</f>
        <v>42703</v>
      </c>
    </row>
    <row r="5" spans="1:3" ht="30" customHeight="1" x14ac:dyDescent="0.3">
      <c r="B5" s="19" t="s">
        <v>4</v>
      </c>
      <c r="C5" s="17">
        <f ca="1">TODAY()+15</f>
        <v>42718</v>
      </c>
    </row>
    <row r="6" spans="1:3" ht="30" customHeight="1" x14ac:dyDescent="0.3">
      <c r="B6" s="19" t="s">
        <v>5</v>
      </c>
      <c r="C6" s="17">
        <f ca="1">TODAY()+30</f>
        <v>42733</v>
      </c>
    </row>
    <row r="7" spans="1:3" ht="30" customHeight="1" x14ac:dyDescent="0.3">
      <c r="B7" s="19" t="s">
        <v>6</v>
      </c>
      <c r="C7" s="17">
        <f ca="1">TODAY()+45</f>
        <v>42748</v>
      </c>
    </row>
    <row r="8" spans="1:3" ht="30" customHeight="1" x14ac:dyDescent="0.3">
      <c r="B8" s="19" t="s">
        <v>7</v>
      </c>
      <c r="C8" s="17">
        <f ca="1">TODAY()+60</f>
        <v>42763</v>
      </c>
    </row>
    <row r="9" spans="1:3" ht="30" customHeight="1" x14ac:dyDescent="0.3">
      <c r="B9" s="19" t="s">
        <v>8</v>
      </c>
      <c r="C9" s="17">
        <f ca="1">TODAY()+75</f>
        <v>42778</v>
      </c>
    </row>
    <row r="10" spans="1:3" ht="30" customHeight="1" x14ac:dyDescent="0.3">
      <c r="B10" s="19" t="s">
        <v>9</v>
      </c>
      <c r="C10" s="17">
        <f ca="1">TODAY()+90</f>
        <v>42793</v>
      </c>
    </row>
    <row r="11" spans="1:3" ht="30" customHeight="1" x14ac:dyDescent="0.3">
      <c r="B11" s="19" t="s">
        <v>10</v>
      </c>
      <c r="C11" s="17">
        <f ca="1">TODAY()+105</f>
        <v>42808</v>
      </c>
    </row>
    <row r="12" spans="1:3" ht="30" customHeight="1" x14ac:dyDescent="0.3">
      <c r="B12" s="19" t="s">
        <v>11</v>
      </c>
      <c r="C12" s="17">
        <f ca="1">TODAY()+115</f>
        <v>42818</v>
      </c>
    </row>
    <row r="13" spans="1:3" ht="30" customHeight="1" x14ac:dyDescent="0.3">
      <c r="B13" s="19" t="s">
        <v>12</v>
      </c>
      <c r="C13" s="17">
        <f ca="1">TODAY()+130</f>
        <v>42833</v>
      </c>
    </row>
    <row r="14" spans="1:3" ht="30" customHeight="1" x14ac:dyDescent="0.3">
      <c r="B14" s="19" t="s">
        <v>13</v>
      </c>
      <c r="C14" s="17">
        <f ca="1">TODAY()+145</f>
        <v>42848</v>
      </c>
    </row>
    <row r="15" spans="1:3" ht="30" customHeight="1" x14ac:dyDescent="0.3">
      <c r="B15" s="19" t="s">
        <v>14</v>
      </c>
      <c r="C15" s="17">
        <f ca="1">TODAY()+160</f>
        <v>42863</v>
      </c>
    </row>
  </sheetData>
  <phoneticPr fontId="12" type="noConversion"/>
  <dataValidations count="5">
    <dataValidation allowBlank="1" showInputMessage="1" showErrorMessage="1" prompt="在此工作表中输入作业。此工作簿中这些作业的“月视图”和“周视图”工作表提供各自的月视图和周视图" sqref="A1"/>
    <dataValidation allowBlank="1" showInputMessage="1" showErrorMessage="1" prompt="选择此单元格中的超链接，可导航到此工作表中作业的月视图" sqref="B1"/>
    <dataValidation allowBlank="1" showInputMessage="1" showErrorMessage="1" prompt="选择此单元格中的超链接，可导航到此工作表中作业的周视图" sqref="C1"/>
    <dataValidation allowBlank="1" showInputMessage="1" showErrorMessage="1" prompt="在此列中输入作业描述" sqref="B3"/>
    <dataValidation allowBlank="1" showInputMessage="1" showErrorMessage="1" prompt="在此列中输入到期日期" sqref="C3"/>
  </dataValidations>
  <hyperlinks>
    <hyperlink ref="C1" location="周视图!A1" tooltip="单击以查看每周计划" display="周视图"/>
    <hyperlink ref="B1" location="月视图!A1" tooltip="单击以查看每月计划" display="月视图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autoPageBreaks="0" fitToPage="1"/>
  </sheetPr>
  <dimension ref="B1:H17"/>
  <sheetViews>
    <sheetView showGridLines="0" zoomScaleNormal="100" workbookViewId="0"/>
  </sheetViews>
  <sheetFormatPr defaultRowHeight="16.5" x14ac:dyDescent="0.3"/>
  <cols>
    <col min="1" max="1" width="2.625" style="2" customWidth="1"/>
    <col min="2" max="8" width="20.5" style="2" customWidth="1"/>
    <col min="9" max="9" width="2.625" style="2" customWidth="1"/>
    <col min="10" max="10" width="10" style="2" customWidth="1"/>
    <col min="11" max="11" width="9" style="2"/>
    <col min="12" max="12" width="16.125" style="2" bestFit="1" customWidth="1"/>
    <col min="13" max="13" width="9" style="2"/>
    <col min="14" max="14" width="9.5" style="2" bestFit="1" customWidth="1"/>
    <col min="15" max="16384" width="9" style="2"/>
  </cols>
  <sheetData>
    <row r="1" spans="2:8" ht="45" customHeight="1" thickBot="1" x14ac:dyDescent="0.35">
      <c r="B1" s="5" t="s">
        <v>17</v>
      </c>
      <c r="C1" s="6" t="s">
        <v>32</v>
      </c>
    </row>
    <row r="2" spans="2:8" ht="24.95" customHeight="1" thickTop="1" thickBot="1" x14ac:dyDescent="0.35">
      <c r="B2" s="2" t="s">
        <v>18</v>
      </c>
      <c r="C2" s="2" t="s">
        <v>21</v>
      </c>
    </row>
    <row r="3" spans="2:8" ht="30" customHeight="1" thickTop="1" thickBot="1" x14ac:dyDescent="0.35">
      <c r="B3" s="7">
        <v>9</v>
      </c>
      <c r="C3" s="7">
        <f ca="1">YEAR(TODAY())</f>
        <v>2016</v>
      </c>
    </row>
    <row r="4" spans="2:8" ht="35.1" customHeight="1" thickTop="1" thickBot="1" x14ac:dyDescent="0.35">
      <c r="B4" s="21" t="s">
        <v>19</v>
      </c>
      <c r="C4" s="21"/>
      <c r="D4" s="21"/>
      <c r="E4" s="21"/>
      <c r="F4" s="21"/>
      <c r="G4" s="21"/>
      <c r="H4" s="21"/>
    </row>
    <row r="5" spans="2:8" ht="24.95" customHeight="1" thickTop="1" x14ac:dyDescent="0.3">
      <c r="B5" s="8" t="s">
        <v>20</v>
      </c>
      <c r="C5" s="8" t="s">
        <v>22</v>
      </c>
      <c r="D5" s="8" t="s">
        <v>23</v>
      </c>
      <c r="E5" s="8" t="s">
        <v>24</v>
      </c>
      <c r="F5" s="8" t="s">
        <v>25</v>
      </c>
      <c r="G5" s="8" t="s">
        <v>26</v>
      </c>
      <c r="H5" s="8" t="s">
        <v>27</v>
      </c>
    </row>
    <row r="6" spans="2:8" ht="30" x14ac:dyDescent="0.3">
      <c r="B6" s="9" t="str">
        <f t="shared" ref="B6:H6" ca="1" si="0">IF(WEEKDAY(DATEVALUE(MoYear &amp;"/"&amp; MoMonth &amp;"/"&amp; "1"))=COLUMN(A$2),1,IF(LEN(A6)&gt;0,A6+1,""))</f>
        <v/>
      </c>
      <c r="C6" s="9" t="str">
        <f t="shared" ca="1" si="0"/>
        <v/>
      </c>
      <c r="D6" s="9" t="str">
        <f t="shared" ca="1" si="0"/>
        <v/>
      </c>
      <c r="E6" s="9" t="str">
        <f t="shared" ca="1" si="0"/>
        <v/>
      </c>
      <c r="F6" s="9">
        <f t="shared" ca="1" si="0"/>
        <v>1</v>
      </c>
      <c r="G6" s="9">
        <f t="shared" ca="1" si="0"/>
        <v>2</v>
      </c>
      <c r="H6" s="9">
        <f t="shared" ca="1" si="0"/>
        <v>3</v>
      </c>
    </row>
    <row r="7" spans="2:8" ht="75" customHeight="1" x14ac:dyDescent="0.3">
      <c r="B7" s="10" t="str">
        <f ca="1">IF(LEN(B6)=0,"",IF(COUNTIF(作业[截止日期],DATE(MoYear,MoMonthNum,B6))&gt;0,"作业到期！",""))</f>
        <v/>
      </c>
      <c r="C7" s="10" t="str">
        <f ca="1">IF(LEN(C6)=0,"",IF(COUNTIF(作业[截止日期],DATE(MoYear,MoMonthNum,C6))&gt;0,"作业到期！",""))</f>
        <v/>
      </c>
      <c r="D7" s="10" t="str">
        <f ca="1">IF(LEN(D6)=0,"",IF(COUNTIF(作业[截止日期],DATE(MoYear,MoMonthNum,D6))&gt;0,"作业到期！",""))</f>
        <v/>
      </c>
      <c r="E7" s="10" t="str">
        <f ca="1">IF(LEN(E6)=0,"",IF(COUNTIF(作业[截止日期],DATE(MoYear,MoMonthNum,E6))&gt;0,"作业到期！",""))</f>
        <v/>
      </c>
      <c r="F7" s="10" t="str">
        <f ca="1">IF(LEN(F6)=0,"",IF(COUNTIF(作业[截止日期],DATE(MoYear,MoMonthNum,F6))&gt;0,"作业到期！",""))</f>
        <v/>
      </c>
      <c r="G7" s="10" t="str">
        <f ca="1">IF(LEN(G6)=0,"",IF(COUNTIF(作业[截止日期],DATE(MoYear,MoMonthNum,G6))&gt;0,"作业到期！",""))</f>
        <v/>
      </c>
      <c r="H7" s="10" t="str">
        <f ca="1">IF(LEN(H6)=0,"",IF(COUNTIF(作业[截止日期],DATE(MoYear,MoMonthNum,H6))&gt;0,"作业到期！",""))</f>
        <v/>
      </c>
    </row>
    <row r="8" spans="2:8" ht="30" x14ac:dyDescent="0.3">
      <c r="B8" s="11">
        <f ca="1">IF(LEN(H6)&gt;0,IF(H6=DAY(DATE(MoYear,MoMonthNum+1,0)),"",H6+1),"")</f>
        <v>4</v>
      </c>
      <c r="C8" s="11">
        <f t="shared" ref="C8:H8" ca="1" si="1">IF(LEN(B8)&gt;0,IF(B8=DAY(DATE(MoYear,MoMonthNum+1,0)),"",B8+1),"")</f>
        <v>5</v>
      </c>
      <c r="D8" s="11">
        <f t="shared" ca="1" si="1"/>
        <v>6</v>
      </c>
      <c r="E8" s="11">
        <f t="shared" ca="1" si="1"/>
        <v>7</v>
      </c>
      <c r="F8" s="11">
        <f t="shared" ca="1" si="1"/>
        <v>8</v>
      </c>
      <c r="G8" s="11">
        <f t="shared" ca="1" si="1"/>
        <v>9</v>
      </c>
      <c r="H8" s="11">
        <f t="shared" ca="1" si="1"/>
        <v>10</v>
      </c>
    </row>
    <row r="9" spans="2:8" ht="75" customHeight="1" x14ac:dyDescent="0.3">
      <c r="B9" s="12" t="str">
        <f ca="1">IF(LEN(B8)=0,"",IF(COUNTIF(作业[截止日期],DATE(MoYear,MoMonthNum,B8))&gt;0,"作业到期！",""))</f>
        <v/>
      </c>
      <c r="C9" s="12" t="str">
        <f ca="1">IF(LEN(C8)=0,"",IF(COUNTIF(作业[截止日期],DATE(MoYear,MoMonthNum,C8))&gt;0,"作业到期！",""))</f>
        <v/>
      </c>
      <c r="D9" s="12" t="str">
        <f ca="1">IF(LEN(D8)=0,"",IF(COUNTIF(作业[截止日期],DATE(MoYear,MoMonthNum,D8))&gt;0,"作业到期！",""))</f>
        <v/>
      </c>
      <c r="E9" s="12" t="str">
        <f ca="1">IF(LEN(E8)=0,"",IF(COUNTIF(作业[截止日期],DATE(MoYear,MoMonthNum,E8))&gt;0,"作业到期！",""))</f>
        <v/>
      </c>
      <c r="F9" s="12" t="str">
        <f ca="1">IF(LEN(F8)=0,"",IF(COUNTIF(作业[截止日期],DATE(MoYear,MoMonthNum,F8))&gt;0,"作业到期！",""))</f>
        <v/>
      </c>
      <c r="G9" s="12" t="str">
        <f ca="1">IF(LEN(G8)=0,"",IF(COUNTIF(作业[截止日期],DATE(MoYear,MoMonthNum,G8))&gt;0,"作业到期！",""))</f>
        <v/>
      </c>
      <c r="H9" s="12" t="str">
        <f ca="1">IF(LEN(H8)=0,"",IF(COUNTIF(作业[截止日期],DATE(MoYear,MoMonthNum,H8))&gt;0,"作业到期！",""))</f>
        <v/>
      </c>
    </row>
    <row r="10" spans="2:8" ht="30" x14ac:dyDescent="0.3">
      <c r="B10" s="9">
        <f ca="1">IF(LEN(H8)&gt;0,IF(H8=DAY(DATE(MoYear,MoMonthNum+1,0)),"",H8+1),"")</f>
        <v>11</v>
      </c>
      <c r="C10" s="9">
        <f t="shared" ref="C10:H10" ca="1" si="2">IF(LEN(B10)&gt;0,IF(B10=DAY(DATE(MoYear,MoMonthNum+1,0)),"",B10+1),"")</f>
        <v>12</v>
      </c>
      <c r="D10" s="9">
        <f t="shared" ca="1" si="2"/>
        <v>13</v>
      </c>
      <c r="E10" s="9">
        <f t="shared" ca="1" si="2"/>
        <v>14</v>
      </c>
      <c r="F10" s="9">
        <f t="shared" ca="1" si="2"/>
        <v>15</v>
      </c>
      <c r="G10" s="9">
        <f t="shared" ca="1" si="2"/>
        <v>16</v>
      </c>
      <c r="H10" s="9">
        <f t="shared" ca="1" si="2"/>
        <v>17</v>
      </c>
    </row>
    <row r="11" spans="2:8" ht="75" customHeight="1" x14ac:dyDescent="0.3">
      <c r="B11" s="10" t="str">
        <f ca="1">IF(LEN(B10)=0,"",IF(COUNTIF(作业[截止日期],DATE(MoYear,MoMonthNum,B10))&gt;0,"作业到期！",""))</f>
        <v/>
      </c>
      <c r="C11" s="10" t="str">
        <f ca="1">IF(LEN(C10)=0,"",IF(COUNTIF(作业[截止日期],DATE(MoYear,MoMonthNum,C10))&gt;0,"作业到期！",""))</f>
        <v/>
      </c>
      <c r="D11" s="10" t="str">
        <f ca="1">IF(LEN(D10)=0,"",IF(COUNTIF(作业[截止日期],DATE(MoYear,MoMonthNum,D10))&gt;0,"作业到期！",""))</f>
        <v/>
      </c>
      <c r="E11" s="10" t="str">
        <f ca="1">IF(LEN(E10)=0,"",IF(COUNTIF(作业[截止日期],DATE(MoYear,MoMonthNum,E10))&gt;0,"作业到期！",""))</f>
        <v/>
      </c>
      <c r="F11" s="10" t="str">
        <f ca="1">IF(LEN(F10)=0,"",IF(COUNTIF(作业[截止日期],DATE(MoYear,MoMonthNum,F10))&gt;0,"作业到期！",""))</f>
        <v/>
      </c>
      <c r="G11" s="10" t="str">
        <f ca="1">IF(LEN(G10)=0,"",IF(COUNTIF(作业[截止日期],DATE(MoYear,MoMonthNum,G10))&gt;0,"作业到期！",""))</f>
        <v/>
      </c>
      <c r="H11" s="10" t="str">
        <f ca="1">IF(LEN(H10)=0,"",IF(COUNTIF(作业[截止日期],DATE(MoYear,MoMonthNum,H10))&gt;0,"作业到期！",""))</f>
        <v/>
      </c>
    </row>
    <row r="12" spans="2:8" ht="30" x14ac:dyDescent="0.3">
      <c r="B12" s="11">
        <f ca="1">IF(LEN(H10)&gt;0,IF(H10=DAY(DATE(MoYear,MoMonthNum+1,0)),"",H10+1),"")</f>
        <v>18</v>
      </c>
      <c r="C12" s="11">
        <f t="shared" ref="C12:H12" ca="1" si="3">IF(LEN(B12)&gt;0,IF(B12=DAY(DATE(MoYear,MoMonthNum+1,0)),"",B12+1),"")</f>
        <v>19</v>
      </c>
      <c r="D12" s="11">
        <f t="shared" ca="1" si="3"/>
        <v>20</v>
      </c>
      <c r="E12" s="11">
        <f t="shared" ca="1" si="3"/>
        <v>21</v>
      </c>
      <c r="F12" s="11">
        <f t="shared" ca="1" si="3"/>
        <v>22</v>
      </c>
      <c r="G12" s="11">
        <f t="shared" ca="1" si="3"/>
        <v>23</v>
      </c>
      <c r="H12" s="11">
        <f t="shared" ca="1" si="3"/>
        <v>24</v>
      </c>
    </row>
    <row r="13" spans="2:8" ht="75" customHeight="1" x14ac:dyDescent="0.3">
      <c r="B13" s="12" t="str">
        <f ca="1">IF(LEN(B12)=0,"",IF(COUNTIF(作业[截止日期],DATE(MoYear,MoMonthNum,B12))&gt;0,"作业到期！",""))</f>
        <v/>
      </c>
      <c r="C13" s="12" t="str">
        <f ca="1">IF(LEN(C12)=0,"",IF(COUNTIF(作业[截止日期],DATE(MoYear,MoMonthNum,C12))&gt;0,"作业到期！",""))</f>
        <v/>
      </c>
      <c r="D13" s="12" t="str">
        <f ca="1">IF(LEN(D12)=0,"",IF(COUNTIF(作业[截止日期],DATE(MoYear,MoMonthNum,D12))&gt;0,"作业到期！",""))</f>
        <v/>
      </c>
      <c r="E13" s="12" t="str">
        <f ca="1">IF(LEN(E12)=0,"",IF(COUNTIF(作业[截止日期],DATE(MoYear,MoMonthNum,E12))&gt;0,"作业到期！",""))</f>
        <v/>
      </c>
      <c r="F13" s="12" t="str">
        <f ca="1">IF(LEN(F12)=0,"",IF(COUNTIF(作业[截止日期],DATE(MoYear,MoMonthNum,F12))&gt;0,"作业到期！",""))</f>
        <v/>
      </c>
      <c r="G13" s="12" t="str">
        <f ca="1">IF(LEN(G12)=0,"",IF(COUNTIF(作业[截止日期],DATE(MoYear,MoMonthNum,G12))&gt;0,"作业到期！",""))</f>
        <v/>
      </c>
      <c r="H13" s="12" t="str">
        <f ca="1">IF(LEN(H12)=0,"",IF(COUNTIF(作业[截止日期],DATE(MoYear,MoMonthNum,H12))&gt;0,"作业到期！",""))</f>
        <v/>
      </c>
    </row>
    <row r="14" spans="2:8" ht="30" x14ac:dyDescent="0.3">
      <c r="B14" s="9">
        <f ca="1">IF(LEN(H12)&gt;0,IF(H12=DAY(DATE(MoYear,MoMonthNum+1,0)),"",H12+1),"")</f>
        <v>25</v>
      </c>
      <c r="C14" s="9">
        <f t="shared" ref="C14:H14" ca="1" si="4">IF(LEN(B14)&gt;0,IF(B14=DAY(DATE(MoYear,MoMonthNum+1,0)),"",B14+1),"")</f>
        <v>26</v>
      </c>
      <c r="D14" s="9">
        <f t="shared" ca="1" si="4"/>
        <v>27</v>
      </c>
      <c r="E14" s="9">
        <f t="shared" ca="1" si="4"/>
        <v>28</v>
      </c>
      <c r="F14" s="9">
        <f t="shared" ca="1" si="4"/>
        <v>29</v>
      </c>
      <c r="G14" s="9">
        <f t="shared" ca="1" si="4"/>
        <v>30</v>
      </c>
      <c r="H14" s="9" t="str">
        <f t="shared" ca="1" si="4"/>
        <v/>
      </c>
    </row>
    <row r="15" spans="2:8" ht="75" customHeight="1" x14ac:dyDescent="0.3">
      <c r="B15" s="10" t="str">
        <f ca="1">IF(LEN(B14)=0,"",IF(COUNTIF(作业[截止日期],DATE(MoYear,MoMonthNum,B14))&gt;0,"作业到期！",""))</f>
        <v/>
      </c>
      <c r="C15" s="10" t="str">
        <f ca="1">IF(LEN(C14)=0,"",IF(COUNTIF(作业[截止日期],DATE(MoYear,MoMonthNum,C14))&gt;0,"作业到期！",""))</f>
        <v/>
      </c>
      <c r="D15" s="10" t="str">
        <f ca="1">IF(LEN(D14)=0,"",IF(COUNTIF(作业[截止日期],DATE(MoYear,MoMonthNum,D14))&gt;0,"作业到期！",""))</f>
        <v/>
      </c>
      <c r="E15" s="10" t="str">
        <f ca="1">IF(LEN(E14)=0,"",IF(COUNTIF(作业[截止日期],DATE(MoYear,MoMonthNum,E14))&gt;0,"作业到期！",""))</f>
        <v/>
      </c>
      <c r="F15" s="10" t="str">
        <f ca="1">IF(LEN(F14)=0,"",IF(COUNTIF(作业[截止日期],DATE(MoYear,MoMonthNum,F14))&gt;0,"作业到期！",""))</f>
        <v/>
      </c>
      <c r="G15" s="10" t="str">
        <f ca="1">IF(LEN(G14)=0,"",IF(COUNTIF(作业[截止日期],DATE(MoYear,MoMonthNum,G14))&gt;0,"作业到期！",""))</f>
        <v/>
      </c>
      <c r="H15" s="10" t="str">
        <f ca="1">IF(LEN(H14)=0,"",IF(COUNTIF(作业[截止日期],DATE(MoYear,MoMonthNum,H14))&gt;0,"作业到期！",""))</f>
        <v/>
      </c>
    </row>
    <row r="16" spans="2:8" ht="30" x14ac:dyDescent="0.3">
      <c r="B16" s="11" t="str">
        <f ca="1">IF(LEN(H14)&gt;0,IF(H14=DAY(DATE(MoYear,MoMonthNum+1,0)),"",H14+1),"")</f>
        <v/>
      </c>
      <c r="C16" s="11" t="str">
        <f t="shared" ref="C16:H16" ca="1" si="5">IF(LEN(B16)&gt;0,IF(B16=DAY(DATE(MoYear,MoMonthNum+1,0)),"",B16+1),"")</f>
        <v/>
      </c>
      <c r="D16" s="11" t="str">
        <f t="shared" ca="1" si="5"/>
        <v/>
      </c>
      <c r="E16" s="11" t="str">
        <f t="shared" ca="1" si="5"/>
        <v/>
      </c>
      <c r="F16" s="11" t="str">
        <f t="shared" ca="1" si="5"/>
        <v/>
      </c>
      <c r="G16" s="11" t="str">
        <f t="shared" ca="1" si="5"/>
        <v/>
      </c>
      <c r="H16" s="11" t="str">
        <f t="shared" ca="1" si="5"/>
        <v/>
      </c>
    </row>
    <row r="17" spans="2:8" ht="75" customHeight="1" x14ac:dyDescent="0.3">
      <c r="B17" s="12" t="str">
        <f ca="1">IF(LEN(B16)=0,"",IF(COUNTIF(作业[截止日期],DATE(MoYear,MoMonthNum,B16))&gt;0,"作业到期！",""))</f>
        <v/>
      </c>
      <c r="C17" s="12" t="str">
        <f ca="1">IF(LEN(C16)=0,"",IF(COUNTIF(作业[截止日期],DATE(MoYear,MoMonthNum,C16))&gt;0,"作业到期！",""))</f>
        <v/>
      </c>
      <c r="D17" s="12" t="str">
        <f ca="1">IF(LEN(D16)=0,"",IF(COUNTIF(作业[截止日期],DATE(MoYear,MoMonthNum,D16))&gt;0,"作业到期！",""))</f>
        <v/>
      </c>
      <c r="E17" s="12" t="str">
        <f ca="1">IF(LEN(E16)=0,"",IF(COUNTIF(作业[截止日期],DATE(MoYear,MoMonthNum,E16))&gt;0,"作业到期！",""))</f>
        <v/>
      </c>
      <c r="F17" s="12" t="str">
        <f ca="1">IF(LEN(F16)=0,"",IF(COUNTIF(作业[截止日期],DATE(MoYear,MoMonthNum,F16))&gt;0,"作业到期！",""))</f>
        <v/>
      </c>
      <c r="G17" s="12" t="str">
        <f ca="1">IF(LEN(G16)=0,"",IF(COUNTIF(作业[截止日期],DATE(MoYear,MoMonthNum,G16))&gt;0,"作业到期！",""))</f>
        <v/>
      </c>
      <c r="H17" s="12" t="str">
        <f ca="1">IF(LEN(H16)=0,"",IF(COUNTIF(作业[截止日期],DATE(MoYear,MoMonthNum,H16))&gt;0,"作业到期！",""))</f>
        <v/>
      </c>
    </row>
  </sheetData>
  <mergeCells count="1">
    <mergeCell ref="B4:H4"/>
  </mergeCells>
  <phoneticPr fontId="12" type="noConversion"/>
  <dataValidations count="8">
    <dataValidation type="list" allowBlank="1" showInputMessage="1" showErrorMessage="1" error="选择“重试”并键入完整月名，或按 Alt+向下键，再按 Enter 以从提供的列表中进行选择。选择“取消”退出单元格" prompt="从此下拉列表中选择月份，以查看该月的工作分配。按 Alt+向下键，再按 Enter 以从列表中选择，或在此单元格中键入完整月名" sqref="B3">
      <formula1>"1,2,3,4,5,6,7,8,9,10,11,12"</formula1>
    </dataValidation>
    <dataValidation allowBlank="1" showInputMessage="1" showErrorMessage="1" prompt="这是作业的日历月视图，基于“作业”工作表中的输入自动生成。仅编辑该工作表中的作业" sqref="A1"/>
    <dataValidation allowBlank="1" showInputMessage="1" showErrorMessage="1" prompt="为此日历视图输入年份" sqref="C3"/>
    <dataValidation allowBlank="1" showInputMessage="1" showErrorMessage="1" prompt="选择此单元格中的超链接可导航到“作业”工作表" sqref="B1"/>
    <dataValidation allowBlank="1" showInputMessage="1" showErrorMessage="1" prompt="选择此单元格中的超链接可导航到作业的周视图" sqref="C1"/>
    <dataValidation allowBlank="1" showInputMessage="1" showErrorMessage="1" prompt="第 6、8、10、12、14、16 行 B 到 H 列单元格中显示当月日期" sqref="B6"/>
    <dataValidation allowBlank="1" showInputMessage="1" showErrorMessage="1" prompt="此行 B 到 H 列显示月历的工作日，以星期日作为一周的开始" sqref="B5"/>
    <dataValidation allowBlank="1" showInputMessage="1" showErrorMessage="1" prompt="在第 7、9、11、13、15 和 17 行 B 到 H 列，从“作业”工作表自动更新作业" sqref="B7"/>
  </dataValidations>
  <hyperlinks>
    <hyperlink ref="B1" location="作业!A1" tooltip="单击以查看作业" display="作业"/>
    <hyperlink ref="C1" location="周视图!A1" tooltip="单击以查看每周计划" display="周视图"/>
  </hyperlinks>
  <printOptions horizontalCentered="1" verticalCentered="1"/>
  <pageMargins left="0.25" right="0.25" top="0.75" bottom="0.75" header="0.3" footer="0.3"/>
  <pageSetup paperSize="9" orientation="landscape" r:id="rId1"/>
  <ignoredErrors>
    <ignoredError sqref="C8:H8 B8 B10:H10 B12:H12 B14:H14 B16:H16 B9:H9 B17:H17 B15:H15 B13:H13 B11:H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autoPageBreaks="0" fitToPage="1"/>
  </sheetPr>
  <dimension ref="B1:H17"/>
  <sheetViews>
    <sheetView showGridLines="0" zoomScaleNormal="100" workbookViewId="0"/>
  </sheetViews>
  <sheetFormatPr defaultRowHeight="16.5" x14ac:dyDescent="0.3"/>
  <cols>
    <col min="1" max="1" width="2.625" style="2" customWidth="1"/>
    <col min="2" max="8" width="20.5" style="2" customWidth="1"/>
    <col min="9" max="9" width="2.625" style="2" customWidth="1"/>
    <col min="10" max="10" width="10" style="2" customWidth="1"/>
    <col min="11" max="16384" width="9" style="2"/>
  </cols>
  <sheetData>
    <row r="1" spans="2:8" ht="45" customHeight="1" thickBot="1" x14ac:dyDescent="0.35">
      <c r="B1" s="5" t="s">
        <v>17</v>
      </c>
      <c r="C1" s="3" t="s">
        <v>0</v>
      </c>
    </row>
    <row r="2" spans="2:8" ht="24.95" customHeight="1" thickTop="1" thickBot="1" x14ac:dyDescent="0.35">
      <c r="B2" s="2" t="s">
        <v>18</v>
      </c>
      <c r="C2" s="2" t="s">
        <v>21</v>
      </c>
      <c r="D2" s="2" t="s">
        <v>29</v>
      </c>
    </row>
    <row r="3" spans="2:8" ht="30" customHeight="1" thickTop="1" thickBot="1" x14ac:dyDescent="0.35">
      <c r="B3" s="7">
        <v>9</v>
      </c>
      <c r="C3" s="7">
        <f ca="1">YEAR(TODAY())</f>
        <v>2016</v>
      </c>
      <c r="D3" s="7" t="s">
        <v>30</v>
      </c>
      <c r="F3" s="13"/>
    </row>
    <row r="4" spans="2:8" ht="35.1" customHeight="1" thickTop="1" thickBot="1" x14ac:dyDescent="0.35">
      <c r="B4" s="22" t="s">
        <v>28</v>
      </c>
      <c r="C4" s="22"/>
      <c r="D4" s="22"/>
      <c r="E4" s="22"/>
      <c r="F4" s="22"/>
      <c r="G4" s="22"/>
      <c r="H4" s="22"/>
    </row>
    <row r="5" spans="2:8" ht="30.75" hidden="1" thickTop="1" x14ac:dyDescent="0.3">
      <c r="B5" s="11" t="str">
        <f t="shared" ref="B5:H5" ca="1" si="0">IF(WEEKDAY(DATEVALUE(WkYear &amp;"/"&amp; WkMonth &amp;"/"&amp; "1"))=COLUMN(A$2),1,IF(LEN(A5)&gt;0,A5+1,""))</f>
        <v/>
      </c>
      <c r="C5" s="11" t="str">
        <f t="shared" ca="1" si="0"/>
        <v/>
      </c>
      <c r="D5" s="11" t="str">
        <f t="shared" ca="1" si="0"/>
        <v/>
      </c>
      <c r="E5" s="11" t="str">
        <f t="shared" ca="1" si="0"/>
        <v/>
      </c>
      <c r="F5" s="11">
        <f t="shared" ca="1" si="0"/>
        <v>1</v>
      </c>
      <c r="G5" s="11">
        <f t="shared" ca="1" si="0"/>
        <v>2</v>
      </c>
      <c r="H5" s="11">
        <f t="shared" ca="1" si="0"/>
        <v>3</v>
      </c>
    </row>
    <row r="6" spans="2:8" ht="30" hidden="1" x14ac:dyDescent="0.3">
      <c r="B6" s="11">
        <f ca="1">IF(LEN(H5)&gt;0,IF(H5=LastDayOfMonth_Week,"",H5+1),"")</f>
        <v>4</v>
      </c>
      <c r="C6" s="11">
        <f t="shared" ref="C6:H10" ca="1" si="1">IF(LEN(B6)&gt;0,IF(B6=LastDayOfMonth_Week,"",B6+1),"")</f>
        <v>5</v>
      </c>
      <c r="D6" s="11">
        <f t="shared" ca="1" si="1"/>
        <v>6</v>
      </c>
      <c r="E6" s="11">
        <f t="shared" ca="1" si="1"/>
        <v>7</v>
      </c>
      <c r="F6" s="11">
        <f t="shared" ca="1" si="1"/>
        <v>8</v>
      </c>
      <c r="G6" s="11">
        <f t="shared" ca="1" si="1"/>
        <v>9</v>
      </c>
      <c r="H6" s="11">
        <f t="shared" ca="1" si="1"/>
        <v>10</v>
      </c>
    </row>
    <row r="7" spans="2:8" ht="30" hidden="1" x14ac:dyDescent="0.3">
      <c r="B7" s="11">
        <f ca="1">IF(LEN(H6)&gt;0,IF(H6=LastDayOfMonth_Week,"",H6+1),"")</f>
        <v>11</v>
      </c>
      <c r="C7" s="11">
        <f t="shared" ca="1" si="1"/>
        <v>12</v>
      </c>
      <c r="D7" s="11">
        <f t="shared" ca="1" si="1"/>
        <v>13</v>
      </c>
      <c r="E7" s="11">
        <f t="shared" ca="1" si="1"/>
        <v>14</v>
      </c>
      <c r="F7" s="11">
        <f t="shared" ca="1" si="1"/>
        <v>15</v>
      </c>
      <c r="G7" s="11">
        <f t="shared" ca="1" si="1"/>
        <v>16</v>
      </c>
      <c r="H7" s="11">
        <f t="shared" ca="1" si="1"/>
        <v>17</v>
      </c>
    </row>
    <row r="8" spans="2:8" ht="30" hidden="1" x14ac:dyDescent="0.3">
      <c r="B8" s="11">
        <f ca="1">IF(LEN(H7)&gt;0,IF(H7=LastDayOfMonth_Week,"",H7+1),"")</f>
        <v>18</v>
      </c>
      <c r="C8" s="11">
        <f t="shared" ca="1" si="1"/>
        <v>19</v>
      </c>
      <c r="D8" s="11">
        <f t="shared" ca="1" si="1"/>
        <v>20</v>
      </c>
      <c r="E8" s="11">
        <f t="shared" ca="1" si="1"/>
        <v>21</v>
      </c>
      <c r="F8" s="11">
        <f t="shared" ca="1" si="1"/>
        <v>22</v>
      </c>
      <c r="G8" s="11">
        <f t="shared" ca="1" si="1"/>
        <v>23</v>
      </c>
      <c r="H8" s="11">
        <f t="shared" ca="1" si="1"/>
        <v>24</v>
      </c>
    </row>
    <row r="9" spans="2:8" ht="30" hidden="1" x14ac:dyDescent="0.3">
      <c r="B9" s="11">
        <f ca="1">IF(LEN(H8)&gt;0,IF(H8=LastDayOfMonth_Week,"",H8+1),"")</f>
        <v>25</v>
      </c>
      <c r="C9" s="11">
        <f t="shared" ca="1" si="1"/>
        <v>26</v>
      </c>
      <c r="D9" s="11">
        <f t="shared" ca="1" si="1"/>
        <v>27</v>
      </c>
      <c r="E9" s="11">
        <f t="shared" ca="1" si="1"/>
        <v>28</v>
      </c>
      <c r="F9" s="11">
        <f t="shared" ca="1" si="1"/>
        <v>29</v>
      </c>
      <c r="G9" s="11">
        <f t="shared" ca="1" si="1"/>
        <v>30</v>
      </c>
      <c r="H9" s="11" t="str">
        <f t="shared" ca="1" si="1"/>
        <v/>
      </c>
    </row>
    <row r="10" spans="2:8" ht="30.75" hidden="1" thickBot="1" x14ac:dyDescent="0.35">
      <c r="B10" s="11" t="str">
        <f ca="1">IF(LEN(H9)&gt;0,IF(H9=LastDayOfMonth_Week,"",H9+1),"")</f>
        <v/>
      </c>
      <c r="C10" s="11" t="str">
        <f t="shared" ca="1" si="1"/>
        <v/>
      </c>
      <c r="D10" s="11" t="str">
        <f t="shared" ca="1" si="1"/>
        <v/>
      </c>
      <c r="E10" s="11" t="str">
        <f t="shared" ca="1" si="1"/>
        <v/>
      </c>
      <c r="F10" s="11" t="str">
        <f t="shared" ca="1" si="1"/>
        <v/>
      </c>
      <c r="G10" s="11" t="str">
        <f t="shared" ca="1" si="1"/>
        <v/>
      </c>
      <c r="H10" s="11" t="str">
        <f t="shared" ca="1" si="1"/>
        <v/>
      </c>
    </row>
    <row r="11" spans="2:8" ht="24.95" customHeight="1" thickTop="1" x14ac:dyDescent="0.3">
      <c r="B11" s="14" t="s">
        <v>20</v>
      </c>
      <c r="C11" s="14" t="s">
        <v>22</v>
      </c>
      <c r="D11" s="14" t="s">
        <v>23</v>
      </c>
      <c r="E11" s="14" t="s">
        <v>24</v>
      </c>
      <c r="F11" s="14" t="s">
        <v>25</v>
      </c>
      <c r="G11" s="14" t="s">
        <v>26</v>
      </c>
      <c r="H11" s="14" t="s">
        <v>27</v>
      </c>
    </row>
    <row r="12" spans="2:8" ht="30" x14ac:dyDescent="0.3">
      <c r="B12" s="15" t="str">
        <f t="shared" ref="B12:H12" ca="1" si="2">IF(B14="",IF(AND(ISNUMBER(A12),A12&lt;LastDayOfMonth_Week),A12+1,""),IF(B14&lt;=7,"",INDEX(WkMonthView,WkWeek,COLUMN(A$2))-7))</f>
        <v/>
      </c>
      <c r="C12" s="15" t="str">
        <f t="shared" ca="1" si="2"/>
        <v/>
      </c>
      <c r="D12" s="15" t="str">
        <f t="shared" ca="1" si="2"/>
        <v/>
      </c>
      <c r="E12" s="15" t="str">
        <f t="shared" ca="1" si="2"/>
        <v/>
      </c>
      <c r="F12" s="15" t="str">
        <f t="shared" ca="1" si="2"/>
        <v/>
      </c>
      <c r="G12" s="15" t="str">
        <f t="shared" ca="1" si="2"/>
        <v/>
      </c>
      <c r="H12" s="15" t="str">
        <f t="shared" ca="1" si="2"/>
        <v/>
      </c>
    </row>
    <row r="13" spans="2:8" x14ac:dyDescent="0.3">
      <c r="B13" s="16" t="str">
        <f ca="1">IF(LEN(B12)=0,"",IF(COUNTIF(作业[截止日期],DATE(WkYear,WkMonthNum,B12))&gt;0,"作业到期！",""))</f>
        <v/>
      </c>
      <c r="C13" s="16" t="str">
        <f ca="1">IF(LEN(C12)=0,"",IF(COUNTIF(作业[截止日期],DATE(WkYear,WkMonthNum,C12))&gt;0,"作业到期！",""))</f>
        <v/>
      </c>
      <c r="D13" s="16" t="str">
        <f ca="1">IF(LEN(D12)=0,"",IF(COUNTIF(作业[截止日期],DATE(WkYear,WkMonthNum,D12))&gt;0,"作业到期！",""))</f>
        <v/>
      </c>
      <c r="E13" s="16" t="str">
        <f ca="1">IF(LEN(E12)=0,"",IF(COUNTIF(作业[截止日期],DATE(WkYear,WkMonthNum,E12))&gt;0,"作业到期！",""))</f>
        <v/>
      </c>
      <c r="F13" s="16" t="str">
        <f ca="1">IF(LEN(F12)=0,"",IF(COUNTIF(作业[截止日期],DATE(WkYear,WkMonthNum,F12))&gt;0,"作业到期！",""))</f>
        <v/>
      </c>
      <c r="G13" s="16" t="str">
        <f ca="1">IF(LEN(G12)=0,"",IF(COUNTIF(作业[截止日期],DATE(WkYear,WkMonthNum,G12))&gt;0,"作业到期！",""))</f>
        <v/>
      </c>
      <c r="H13" s="16" t="str">
        <f ca="1">IF(LEN(H12)=0,"",IF(COUNTIF(作业[截止日期],DATE(WkYear,WkMonthNum,H12))&gt;0,"作业到期！",""))</f>
        <v/>
      </c>
    </row>
    <row r="14" spans="2:8" ht="30" x14ac:dyDescent="0.3">
      <c r="B14" s="9" t="str">
        <f t="shared" ref="B14" ca="1" si="3">INDEX(WkMonthView,WkWeek,COLUMN(A$2))</f>
        <v/>
      </c>
      <c r="C14" s="9" t="str">
        <f t="shared" ref="C14" ca="1" si="4">INDEX(WkMonthView,WkWeek,COLUMN(B$2))</f>
        <v/>
      </c>
      <c r="D14" s="9" t="str">
        <f t="shared" ref="D14" ca="1" si="5">INDEX(WkMonthView,WkWeek,COLUMN(C$2))</f>
        <v/>
      </c>
      <c r="E14" s="9" t="str">
        <f t="shared" ref="E14" ca="1" si="6">INDEX(WkMonthView,WkWeek,COLUMN(D$2))</f>
        <v/>
      </c>
      <c r="F14" s="9">
        <f t="shared" ref="F14" ca="1" si="7">INDEX(WkMonthView,WkWeek,COLUMN(E$2))</f>
        <v>1</v>
      </c>
      <c r="G14" s="9">
        <f t="shared" ref="G14" ca="1" si="8">INDEX(WkMonthView,WkWeek,COLUMN(F$2))</f>
        <v>2</v>
      </c>
      <c r="H14" s="9">
        <f t="shared" ref="H14" ca="1" si="9">INDEX(WkMonthView,WkWeek,COLUMN(G$2))</f>
        <v>3</v>
      </c>
    </row>
    <row r="15" spans="2:8" ht="225" customHeight="1" x14ac:dyDescent="0.3">
      <c r="B15" s="10" t="str">
        <f ca="1">IF(LEN(B14)=0,"",IF(COUNTIF(作业[截止日期],DATE(WkYear,WkMonthNum,B14))&gt;0,"作业到期！",""))</f>
        <v/>
      </c>
      <c r="C15" s="10" t="str">
        <f ca="1">IF(LEN(C14)=0,"",IF(COUNTIF(作业[截止日期],DATE(WkYear,WkMonthNum,C14))&gt;0,"作业到期！",""))</f>
        <v/>
      </c>
      <c r="D15" s="10" t="str">
        <f ca="1">IF(LEN(D14)=0,"",IF(COUNTIF(作业[截止日期],DATE(WkYear,WkMonthNum,D14))&gt;0,"作业到期！",""))</f>
        <v/>
      </c>
      <c r="E15" s="10" t="str">
        <f ca="1">IF(LEN(E14)=0,"",IF(COUNTIF(作业[截止日期],DATE(WkYear,WkMonthNum,E14))&gt;0,"作业到期！",""))</f>
        <v/>
      </c>
      <c r="F15" s="10" t="str">
        <f ca="1">IF(LEN(F14)=0,"",IF(COUNTIF(作业[截止日期],DATE(WkYear,WkMonthNum,F14))&gt;0,"作业到期！",""))</f>
        <v/>
      </c>
      <c r="G15" s="10" t="str">
        <f ca="1">IF(LEN(G14)=0,"",IF(COUNTIF(作业[截止日期],DATE(WkYear,WkMonthNum,G14))&gt;0,"作业到期！",""))</f>
        <v/>
      </c>
      <c r="H15" s="10" t="str">
        <f ca="1">IF(LEN(H14)=0,"",IF(COUNTIF(作业[截止日期],DATE(WkYear,WkMonthNum,H14))&gt;0,"作业到期！",""))</f>
        <v/>
      </c>
    </row>
    <row r="16" spans="2:8" ht="30" x14ac:dyDescent="0.3">
      <c r="B16" s="15">
        <f t="array" aca="1" ref="B16" ca="1">IFERROR(IF(B14="",IF(AND(ISNUMBER(A16),A16&lt;LastDayOfMonth_Week),A16+1,$H$14+COLUMN(A$2)),IF(B14+7&gt;LastDayOfMonth_Week,"",INDEX(WkMonthView,WkWeek,COLUMN(A$2))+7)),"")</f>
        <v>4</v>
      </c>
      <c r="C16" s="15">
        <f t="array" aca="1" ref="C16" ca="1">IFERROR(IF(C14="",IF(AND(ISNUMBER(B16),B16&lt;LastDayOfMonth_Week),B16+1,$H$14+COLUMN(B$2)),IF(C14+7&gt;LastDayOfMonth_Week,"",INDEX(WkMonthView,WkWeek,COLUMN(B$2))+7)),"")</f>
        <v>5</v>
      </c>
      <c r="D16" s="15">
        <f t="array" aca="1" ref="D16" ca="1">IFERROR(IF(D14="",IF(AND(ISNUMBER(C16),C16&lt;LastDayOfMonth_Week),C16+1,$H$14+COLUMN(C$2)),IF(D14+7&gt;LastDayOfMonth_Week,"",INDEX(WkMonthView,WkWeek,COLUMN(C$2))+7)),"")</f>
        <v>6</v>
      </c>
      <c r="E16" s="15">
        <f t="array" aca="1" ref="E16" ca="1">IFERROR(IF(E14="",IF(AND(ISNUMBER(D16),D16&lt;LastDayOfMonth_Week),D16+1,$H$14+COLUMN(D$2)),IF(E14+7&gt;LastDayOfMonth_Week,"",INDEX(WkMonthView,WkWeek,COLUMN(D$2))+7)),"")</f>
        <v>7</v>
      </c>
      <c r="F16" s="15">
        <f t="array" aca="1" ref="F16" ca="1">IFERROR(IF(F14="",IF(AND(ISNUMBER(E16),E16&lt;LastDayOfMonth_Week),E16+1,$H$14+COLUMN(E$2)),IF(F14+7&gt;LastDayOfMonth_Week,"",INDEX(WkMonthView,WkWeek,COLUMN(E$2))+7)),"")</f>
        <v>8</v>
      </c>
      <c r="G16" s="15">
        <f t="array" aca="1" ref="G16" ca="1">IFERROR(IF(G14="",IF(AND(ISNUMBER(F16),F16&lt;LastDayOfMonth_Week),F16+1,$H$14+COLUMN(F$2)),IF(G14+7&gt;LastDayOfMonth_Week,"",INDEX(WkMonthView,WkWeek,COLUMN(F$2))+7)),"")</f>
        <v>9</v>
      </c>
      <c r="H16" s="15">
        <f t="array" aca="1" ref="H16" ca="1">IFERROR(IF(H14="",IF(AND(ISNUMBER(G16),G16&lt;LastDayOfMonth_Week),G16+1,$H$14+COLUMN(G$2)),IF(H14+7&gt;LastDayOfMonth_Week,"",INDEX(WkMonthView,WkWeek,COLUMN(G$2))+7)),"")</f>
        <v>10</v>
      </c>
    </row>
    <row r="17" spans="2:8" x14ac:dyDescent="0.3">
      <c r="B17" s="16" t="str">
        <f ca="1">IF(LEN(B16)=0,"",IF(COUNTIF(作业[截止日期],DATE(WkYear,WkMonthNum,B16))&gt;0,"作业到期！",""))</f>
        <v/>
      </c>
      <c r="C17" s="16" t="str">
        <f ca="1">IF(LEN(C16)=0,"",IF(COUNTIF(作业[截止日期],DATE(WkYear,WkMonthNum,C16))&gt;0,"作业到期！",""))</f>
        <v/>
      </c>
      <c r="D17" s="16" t="str">
        <f ca="1">IF(LEN(D16)=0,"",IF(COUNTIF(作业[截止日期],DATE(WkYear,WkMonthNum,D16))&gt;0,"作业到期！",""))</f>
        <v/>
      </c>
      <c r="E17" s="16" t="str">
        <f ca="1">IF(LEN(E16)=0,"",IF(COUNTIF(作业[截止日期],DATE(WkYear,WkMonthNum,E16))&gt;0,"作业到期！",""))</f>
        <v/>
      </c>
      <c r="F17" s="16" t="str">
        <f ca="1">IF(LEN(F16)=0,"",IF(COUNTIF(作业[截止日期],DATE(WkYear,WkMonthNum,F16))&gt;0,"作业到期！",""))</f>
        <v/>
      </c>
      <c r="G17" s="16" t="str">
        <f ca="1">IF(LEN(G16)=0,"",IF(COUNTIF(作业[截止日期],DATE(WkYear,WkMonthNum,G16))&gt;0,"作业到期！",""))</f>
        <v/>
      </c>
      <c r="H17" s="16" t="str">
        <f ca="1">IF(LEN(H16)=0,"",IF(COUNTIF(作业[截止日期],DATE(WkYear,WkMonthNum,H16))&gt;0,"作业到期！",""))</f>
        <v/>
      </c>
    </row>
  </sheetData>
  <mergeCells count="1">
    <mergeCell ref="B4:H4"/>
  </mergeCells>
  <phoneticPr fontId="12" type="noConversion"/>
  <dataValidations count="9">
    <dataValidation type="list" allowBlank="1" showInputMessage="1" showErrorMessage="1" error="选择“重试”并按 Alt+向下键，再按 Enter 以从提供的列表中进行选择条目。选择“取消”退出单元格" prompt="从此下拉列表中选择一周，以查看该周的工作分配。在单元格中按 Alt+向下键，再按 Enter 以选择从列表中进行选择" sqref="D3">
      <formula1>"第 1 周,第 2 周,第 3 周,第 4 周,第 5 周,第 6 周"</formula1>
    </dataValidation>
    <dataValidation type="list" allowBlank="1" showInputMessage="1" showErrorMessage="1" error="选择“重试”并键入完整月名，或按 Alt+向下键，再按 Enter 以从提供的列表中进行选择。选择“取消”退出单元格" prompt="从此下拉列表中选择月份，以查看该月的工作分配。按 Alt+向下键，再按 Enter 以从列表中选择，或在此单元格中键入完整月名" sqref="B3">
      <formula1>"1,2,3,4,5,6,7,8,9,10,11,12"</formula1>
    </dataValidation>
    <dataValidation allowBlank="1" showInputMessage="1" showErrorMessage="1" prompt="为此日历视图输入年份" sqref="C3"/>
    <dataValidation allowBlank="1" showInputMessage="1" showErrorMessage="1" prompt="这是作业的周视图，基于此工作簿“作业”工作表中的输入自动更新。作业的所有编辑工作都在该工作表中完成" sqref="A1"/>
    <dataValidation allowBlank="1" showInputMessage="1" showErrorMessage="1" prompt="选择此单元格中的超链接可导航到“作业”工作表" sqref="B1"/>
    <dataValidation allowBlank="1" showInputMessage="1" showErrorMessage="1" prompt="选择此单元格中的超链接，可导航到此工作表中作业的月视图" sqref="C1"/>
    <dataValidation allowBlank="1" showInputMessage="1" showErrorMessage="1" prompt="此行 B 到 H 列显示周视图日历的工作日，以星期日作为一周的开始" sqref="B11"/>
    <dataValidation allowBlank="1" showInputMessage="1" showErrorMessage="1" prompt="第 12、14、16 行 B 到 H 列单元格中显示星期几" sqref="B12"/>
    <dataValidation allowBlank="1" showInputMessage="1" showErrorMessage="1" prompt="“作业”工作表中的作业显示在第 13、15 和 17 行 B 到 H 列" sqref="B13"/>
  </dataValidations>
  <hyperlinks>
    <hyperlink ref="B1" location="作业!A1" tooltip="单击以查看作业" display="作业"/>
    <hyperlink ref="C1" location="月视图!A1" tooltip="单击以查看每月计划" display="月视图"/>
  </hyperlinks>
  <printOptions horizontalCentered="1" verticalCentered="1"/>
  <pageMargins left="0.25" right="0.25" top="0.75" bottom="0.75" header="0.3" footer="0.3"/>
  <pageSetup paperSize="9" orientation="landscape" r:id="rId1"/>
  <ignoredErrors>
    <ignoredError sqref="B14 C14:H14 B16:H16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作业</vt:lpstr>
      <vt:lpstr>月视图</vt:lpstr>
      <vt:lpstr>周视图</vt:lpstr>
      <vt:lpstr>ColumnTitle1</vt:lpstr>
      <vt:lpstr>MoMonth</vt:lpstr>
      <vt:lpstr>MoWeek2</vt:lpstr>
      <vt:lpstr>MoWeek3</vt:lpstr>
      <vt:lpstr>MoWeek4</vt:lpstr>
      <vt:lpstr>MoWeek5</vt:lpstr>
      <vt:lpstr>MoYear</vt:lpstr>
      <vt:lpstr>作业!Print_Titles</vt:lpstr>
      <vt:lpstr>周视图!WkMonth</vt:lpstr>
      <vt:lpstr>WkMonthView</vt:lpstr>
      <vt:lpstr>周视图!WkYear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2016-09-16T21:38:58Z</dcterms:created>
  <dcterms:modified xsi:type="dcterms:W3CDTF">2016-11-29T17:17:38Z</dcterms:modified>
</cp:coreProperties>
</file>