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-CN\Desktop\zh-CN\"/>
    </mc:Choice>
  </mc:AlternateContent>
  <bookViews>
    <workbookView xWindow="0" yWindow="0" windowWidth="28800" windowHeight="11160"/>
  </bookViews>
  <sheets>
    <sheet name="还款计算表" sheetId="1" r:id="rId1"/>
  </sheets>
  <definedNames>
    <definedName name="ColumnTitle1">贷款详细信息[[#Headers],[贷款详细信息]]</definedName>
    <definedName name="_xlnm.Print_Titles" localSheetId="0">还款计算表!$9:$9</definedName>
  </definedNames>
  <calcPr calcId="162913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7" i="1"/>
  <c r="C6" i="1"/>
  <c r="C5" i="1"/>
</calcChain>
</file>

<file path=xl/sharedStrings.xml><?xml version="1.0" encoding="utf-8"?>
<sst xmlns="http://schemas.openxmlformats.org/spreadsheetml/2006/main" count="14" uniqueCount="14">
  <si>
    <t>信用卡</t>
  </si>
  <si>
    <t>还款计算表</t>
  </si>
  <si>
    <t>图表数据</t>
  </si>
  <si>
    <t>基于最低还款的还清月数</t>
  </si>
  <si>
    <t>基于建议还款的还清月数</t>
  </si>
  <si>
    <t>基于最低还款的总利息</t>
  </si>
  <si>
    <t>基于建议还款的总利息</t>
  </si>
  <si>
    <t>贷款详细信息</t>
  </si>
  <si>
    <t>所欠余额</t>
  </si>
  <si>
    <t>利率</t>
  </si>
  <si>
    <t>每月最低还款</t>
  </si>
  <si>
    <t>每月建议还款</t>
  </si>
  <si>
    <t>金额</t>
  </si>
  <si>
    <t>输入值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</si>
</sst>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¥&quot;#,##0;&quot;¥&quot;\-#,##0"/>
    <numFmt numFmtId="176" formatCode="&quot;¥&quot;#,##0_);[Red]\(&quot;¥&quot;#,##0\)"/>
  </numFmts>
  <fonts count="12" x14ac:knownFonts="1">
    <font>
      <sz val="11"/>
      <color theme="1" tint="0.34998626667073579"/>
      <name val="Arial"/>
      <family val="2"/>
      <scheme val="minor"/>
    </font>
    <font>
      <sz val="16"/>
      <color theme="1" tint="0.34998626667073579"/>
      <name val="Arial"/>
      <family val="2"/>
      <scheme val="major"/>
    </font>
    <font>
      <b/>
      <sz val="11"/>
      <color theme="1"/>
      <name val="Arial"/>
      <family val="2"/>
      <scheme val="minor"/>
    </font>
    <font>
      <b/>
      <sz val="14"/>
      <color theme="4" tint="-0.24994659260841701"/>
      <name val="Arial"/>
      <family val="2"/>
      <scheme val="major"/>
    </font>
    <font>
      <b/>
      <sz val="25"/>
      <color theme="4" tint="-0.24994659260841701"/>
      <name val="Arial"/>
      <family val="2"/>
      <scheme val="major"/>
    </font>
    <font>
      <sz val="11"/>
      <color theme="1" tint="0.34998626667073579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sz val="16"/>
      <color theme="1" tint="0.34998626667073579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b/>
      <sz val="25"/>
      <color theme="4" tint="-0.24994659260841701"/>
      <name val="Microsoft YaHei UI"/>
      <family val="2"/>
      <charset val="134"/>
    </font>
    <font>
      <b/>
      <sz val="14"/>
      <color theme="4" tint="-0.24994659260841701"/>
      <name val="Microsoft YaHei UI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0" fontId="4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6" fillId="0" borderId="0" applyNumberFormat="0" applyFill="0" applyAlignment="0" applyProtection="0"/>
    <xf numFmtId="0" fontId="2" fillId="0" borderId="1" applyNumberFormat="0" applyFill="0" applyAlignment="0" applyProtection="0"/>
    <xf numFmtId="0" fontId="5" fillId="0" borderId="0" applyNumberFormat="0" applyFont="0" applyFill="0" applyBorder="0">
      <alignment horizontal="left"/>
    </xf>
    <xf numFmtId="0" fontId="5" fillId="0" borderId="2" applyNumberFormat="0" applyFont="0" applyFill="0" applyAlignment="0"/>
  </cellStyleXfs>
  <cellXfs count="14">
    <xf numFmtId="0" fontId="0" fillId="0" borderId="0" xfId="0"/>
    <xf numFmtId="0" fontId="7" fillId="0" borderId="0" xfId="2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9" fillId="0" borderId="0" xfId="1" applyFont="1">
      <alignment horizontal="left"/>
    </xf>
    <xf numFmtId="0" fontId="8" fillId="0" borderId="2" xfId="7" applyFont="1"/>
    <xf numFmtId="0" fontId="8" fillId="0" borderId="2" xfId="7" applyFont="1" applyAlignment="1">
      <alignment horizontal="center"/>
    </xf>
    <xf numFmtId="0" fontId="10" fillId="0" borderId="0" xfId="3" applyFont="1"/>
    <xf numFmtId="0" fontId="10" fillId="0" borderId="0" xfId="3" applyFont="1" applyAlignment="1">
      <alignment horizontal="left"/>
    </xf>
    <xf numFmtId="0" fontId="8" fillId="0" borderId="0" xfId="6" applyFont="1">
      <alignment horizontal="left"/>
    </xf>
    <xf numFmtId="0" fontId="8" fillId="0" borderId="0" xfId="0" applyFont="1" applyAlignment="1">
      <alignment horizontal="left" wrapText="1"/>
    </xf>
    <xf numFmtId="10" fontId="8" fillId="0" borderId="0" xfId="0" applyNumberFormat="1" applyFont="1" applyAlignment="1">
      <alignment horizontal="left" wrapText="1"/>
    </xf>
    <xf numFmtId="176" fontId="8" fillId="0" borderId="0" xfId="6" applyNumberFormat="1" applyFont="1">
      <alignment horizontal="left"/>
    </xf>
    <xf numFmtId="5" fontId="8" fillId="0" borderId="0" xfId="0" applyNumberFormat="1" applyFont="1" applyAlignment="1">
      <alignment horizontal="left" wrapText="1"/>
    </xf>
  </cellXfs>
  <cellStyles count="8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  <cellStyle name="汇总" xfId="5" builtinId="25" customBuiltin="1"/>
    <cellStyle name="金额" xfId="6"/>
    <cellStyle name="图表分隔符" xfId="7"/>
  </cellStyles>
  <dxfs count="7">
    <dxf>
      <font>
        <b/>
        <i val="0"/>
        <color rgb="FFC00000"/>
      </font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Microsoft YaHei UI"/>
        <family val="2"/>
        <charset val="134"/>
        <scheme val="none"/>
      </font>
      <numFmt numFmtId="9" formatCode="&quot;¥&quot;#,##0;&quot;¥&quot;\-#,##0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Microsoft YaHei UI"/>
        <family val="2"/>
        <charset val="134"/>
        <scheme val="none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/>
        <i val="0"/>
        <color theme="4" tint="-0.499984740745262"/>
      </font>
      <border>
        <top style="thin">
          <color auto="1"/>
        </top>
      </border>
    </dxf>
  </dxfs>
  <tableStyles count="1" defaultTableStyle="TableStyleMedium2" defaultPivotStyle="PivotStyleLight16">
    <tableStyle name="贷款表" pivot="0" count="1"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565656565656565E-3"/>
          <c:y val="5.4200542005420054E-3"/>
          <c:w val="0.99368686868686884"/>
          <c:h val="0.8098644986449863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0" tIns="19050" rIns="0" bIns="19050" anchor="ctr">
                <a:spAutoFit/>
              </a:bodyPr>
              <a:lstStyle/>
              <a:p>
                <a:pPr>
                  <a:defRPr sz="20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还款计算表!$B$7:$B$8</c:f>
              <c:strCache>
                <c:ptCount val="2"/>
                <c:pt idx="0">
                  <c:v>基于最低还款的总利息</c:v>
                </c:pt>
                <c:pt idx="1">
                  <c:v>基于建议还款的总利息</c:v>
                </c:pt>
              </c:strCache>
            </c:strRef>
          </c:cat>
          <c:val>
            <c:numRef>
              <c:f>还款计算表!$C$7:$C$8</c:f>
              <c:numCache>
                <c:formatCode>"¥"#,##0_);[Red]\("¥"#,##0\)</c:formatCode>
                <c:ptCount val="2"/>
                <c:pt idx="0">
                  <c:v>1763.9522603810219</c:v>
                </c:pt>
                <c:pt idx="1">
                  <c:v>984.81075313113797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B6-4873-B908-C0F73ADF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-27"/>
        <c:axId val="579610912"/>
        <c:axId val="579605032"/>
      </c:barChart>
      <c:catAx>
        <c:axId val="5796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579605032"/>
        <c:crosses val="autoZero"/>
        <c:auto val="1"/>
        <c:lblAlgn val="ctr"/>
        <c:lblOffset val="100"/>
        <c:noMultiLvlLbl val="0"/>
      </c:catAx>
      <c:valAx>
        <c:axId val="579605032"/>
        <c:scaling>
          <c:orientation val="minMax"/>
        </c:scaling>
        <c:delete val="1"/>
        <c:axPos val="l"/>
        <c:numFmt formatCode="&quot;¥&quot;#,##0_);[Red]\(&quot;¥&quot;#,##0\)" sourceLinked="1"/>
        <c:majorTickMark val="out"/>
        <c:minorTickMark val="none"/>
        <c:tickLblPos val="nextTo"/>
        <c:crossAx val="5796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418863099296907E-3"/>
          <c:y val="4.9992488750196327E-3"/>
          <c:w val="0.9938084662494111"/>
          <c:h val="0.815705511208833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8A-4DF1-86CF-05BC25F76491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8A-4DF1-86CF-05BC25F764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还款计算表!$B$5:$B$6</c:f>
              <c:strCache>
                <c:ptCount val="2"/>
                <c:pt idx="0">
                  <c:v>基于最低还款的还清月数</c:v>
                </c:pt>
                <c:pt idx="1">
                  <c:v>基于建议还款的还清月数</c:v>
                </c:pt>
              </c:strCache>
            </c:strRef>
          </c:cat>
          <c:val>
            <c:numRef>
              <c:f>还款计算表!$C$5:$C$6</c:f>
              <c:numCache>
                <c:formatCode>General</c:formatCode>
                <c:ptCount val="2"/>
                <c:pt idx="0">
                  <c:v>40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B-4369-93F7-341C9D94F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-27"/>
        <c:axId val="579602288"/>
        <c:axId val="579611696"/>
      </c:barChart>
      <c:catAx>
        <c:axId val="5796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defRPr>
            </a:pPr>
            <a:endParaRPr lang="zh-CN"/>
          </a:p>
        </c:txPr>
        <c:crossAx val="579611696"/>
        <c:crosses val="autoZero"/>
        <c:auto val="1"/>
        <c:lblAlgn val="ctr"/>
        <c:lblOffset val="100"/>
        <c:noMultiLvlLbl val="0"/>
      </c:catAx>
      <c:valAx>
        <c:axId val="579611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96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4924425</xdr:colOff>
      <xdr:row>2</xdr:row>
      <xdr:rowOff>28575</xdr:rowOff>
    </xdr:from>
    <xdr:to>
      <xdr:col>3</xdr:col>
      <xdr:colOff>26036</xdr:colOff>
      <xdr:row>2</xdr:row>
      <xdr:rowOff>2371725</xdr:rowOff>
    </xdr:to>
    <xdr:graphicFrame macro="">
      <xdr:nvGraphicFramePr>
        <xdr:cNvPr id="2" name="PaymentsChart" descr="嵌入的图表对象有两列，显示应付的总利息。第一列基于最低还款，第二列基于建议还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95248</xdr:colOff>
      <xdr:row>2</xdr:row>
      <xdr:rowOff>19048</xdr:rowOff>
    </xdr:from>
    <xdr:to>
      <xdr:col>1</xdr:col>
      <xdr:colOff>4781549</xdr:colOff>
      <xdr:row>2</xdr:row>
      <xdr:rowOff>2362200</xdr:rowOff>
    </xdr:to>
    <xdr:graphicFrame macro="">
      <xdr:nvGraphicFramePr>
        <xdr:cNvPr id="3" name="PeriodsChart" descr="嵌入的图表对象有两列，显示还清贷款的总月数。第一列基于最低还款，第二列基于建议还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贷款详细信息" displayName="贷款详细信息" ref="B9:C13" totalsRowShown="0" headerRowDxfId="5" dataDxfId="4">
  <autoFilter ref="B9:C13">
    <filterColumn colId="0" hiddenButton="1"/>
    <filterColumn colId="1" hiddenButton="1"/>
  </autoFilter>
  <tableColumns count="2">
    <tableColumn id="1" name="贷款详细信息" dataDxfId="3"/>
    <tableColumn id="2" name="输入值" dataDxfId="2"/>
  </tableColumns>
  <tableStyleInfo name="贷款表" showFirstColumn="0" showLastColumn="0" showRowStripes="1" showColumnStripes="0"/>
  <extLst>
    <ext xmlns:x14="http://schemas.microsoft.com/office/spreadsheetml/2009/9/main" uri="{504A1905-F514-4f6f-8877-14C23A59335A}">
      <x14:table altTextSummary="贷款表包含所欠余额、利率、每月最低还款以及每月建议还款等贷款详细信息"/>
    </ext>
  </extLst>
</table>
</file>

<file path=xl/theme/theme1.xml><?xml version="1.0" encoding="utf-8"?>
<a:theme xmlns:a="http://schemas.openxmlformats.org/drawingml/2006/main" name="Office Theme">
  <a:themeElements>
    <a:clrScheme name="Credit card payoff calculator">
      <a:dk1>
        <a:sysClr val="windowText" lastClr="000000"/>
      </a:dk1>
      <a:lt1>
        <a:sysClr val="window" lastClr="FFFFFF"/>
      </a:lt1>
      <a:dk2>
        <a:srgbClr val="06212A"/>
      </a:dk2>
      <a:lt2>
        <a:srgbClr val="F2F1F0"/>
      </a:lt2>
      <a:accent1>
        <a:srgbClr val="EBA128"/>
      </a:accent1>
      <a:accent2>
        <a:srgbClr val="CB515D"/>
      </a:accent2>
      <a:accent3>
        <a:srgbClr val="21B1E0"/>
      </a:accent3>
      <a:accent4>
        <a:srgbClr val="BCB688"/>
      </a:accent4>
      <a:accent5>
        <a:srgbClr val="24AC92"/>
      </a:accent5>
      <a:accent6>
        <a:srgbClr val="9961A6"/>
      </a:accent6>
      <a:hlink>
        <a:srgbClr val="21B1E0"/>
      </a:hlink>
      <a:folHlink>
        <a:srgbClr val="9961A6"/>
      </a:folHlink>
    </a:clrScheme>
    <a:fontScheme name="Credit card payoff calculator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C13"/>
  <sheetViews>
    <sheetView showGridLines="0" tabSelected="1" zoomScaleNormal="100" workbookViewId="0"/>
  </sheetViews>
  <sheetFormatPr defaultRowHeight="24" customHeight="1" x14ac:dyDescent="0.3"/>
  <cols>
    <col min="1" max="1" width="2.625" style="3" customWidth="1"/>
    <col min="2" max="2" width="64.75" style="3" customWidth="1"/>
    <col min="3" max="3" width="54.125" style="3" customWidth="1"/>
    <col min="4" max="4" width="2.625" style="3" customWidth="1"/>
    <col min="5" max="16384" width="9" style="3"/>
  </cols>
  <sheetData>
    <row r="1" spans="2:3" ht="33" customHeight="1" x14ac:dyDescent="0.4">
      <c r="B1" s="1" t="s">
        <v>0</v>
      </c>
      <c r="C1" s="2"/>
    </row>
    <row r="2" spans="2:3" ht="29.25" customHeight="1" x14ac:dyDescent="0.6">
      <c r="B2" s="4" t="s">
        <v>1</v>
      </c>
      <c r="C2" s="2"/>
    </row>
    <row r="3" spans="2:3" ht="198" customHeight="1" x14ac:dyDescent="0.3">
      <c r="B3" s="5"/>
      <c r="C3" s="6"/>
    </row>
    <row r="4" spans="2:3" ht="24" customHeight="1" x14ac:dyDescent="0.4">
      <c r="B4" s="7" t="s">
        <v>2</v>
      </c>
      <c r="C4" s="8" t="s">
        <v>12</v>
      </c>
    </row>
    <row r="5" spans="2:3" ht="24" customHeight="1" x14ac:dyDescent="0.3">
      <c r="B5" s="3" t="s">
        <v>3</v>
      </c>
      <c r="C5" s="9">
        <f>IFERROR((ROUNDUP(NPER(还款计算表!C11/12,-还款计算表!C12,还款计算表!C10,0),0)),"N/A")</f>
        <v>40</v>
      </c>
    </row>
    <row r="6" spans="2:3" ht="24" customHeight="1" x14ac:dyDescent="0.3">
      <c r="B6" s="3" t="s">
        <v>4</v>
      </c>
      <c r="C6" s="9">
        <f>IFERROR(ROUNDUP(NPER(还款计算表!C11/12,-还款计算表!C13,还款计算表!C10,0),0),"N/A")</f>
        <v>22</v>
      </c>
    </row>
    <row r="7" spans="2:3" ht="24" customHeight="1" x14ac:dyDescent="0.3">
      <c r="B7" s="3" t="s">
        <v>5</v>
      </c>
      <c r="C7" s="12">
        <f>IFERROR(((NPER(还款计算表!C11/12,-还款计算表!C12,还款计算表!C10,0)*还款计算表!C12)-还款计算表!C10),"N/A")</f>
        <v>1763.9522603810219</v>
      </c>
    </row>
    <row r="8" spans="2:3" ht="24" customHeight="1" x14ac:dyDescent="0.3">
      <c r="B8" s="3" t="s">
        <v>6</v>
      </c>
      <c r="C8" s="12">
        <f>IFERROR(((NPER(还款计算表!C11/12,-还款计算表!C13,还款计算表!C10,0)*还款计算表!C13)-还款计算表!C10),"N/A")</f>
        <v>984.81075313113797</v>
      </c>
    </row>
    <row r="9" spans="2:3" ht="35.1" customHeight="1" x14ac:dyDescent="0.4">
      <c r="B9" s="7" t="s">
        <v>7</v>
      </c>
      <c r="C9" s="7" t="s">
        <v>13</v>
      </c>
    </row>
    <row r="10" spans="2:3" ht="24" customHeight="1" x14ac:dyDescent="0.3">
      <c r="B10" s="10" t="s">
        <v>8</v>
      </c>
      <c r="C10" s="13">
        <v>10000</v>
      </c>
    </row>
    <row r="11" spans="2:3" ht="24" customHeight="1" x14ac:dyDescent="0.3">
      <c r="B11" s="10" t="s">
        <v>9</v>
      </c>
      <c r="C11" s="11">
        <v>0.1</v>
      </c>
    </row>
    <row r="12" spans="2:3" ht="24" customHeight="1" x14ac:dyDescent="0.3">
      <c r="B12" s="10" t="s">
        <v>10</v>
      </c>
      <c r="C12" s="13">
        <v>300</v>
      </c>
    </row>
    <row r="13" spans="2:3" ht="24" customHeight="1" x14ac:dyDescent="0.3">
      <c r="B13" s="10" t="s">
        <v>11</v>
      </c>
      <c r="C13" s="13">
        <v>500</v>
      </c>
    </row>
  </sheetData>
  <phoneticPr fontId="11" type="noConversion"/>
  <conditionalFormatting sqref="C12">
    <cfRule type="expression" dxfId="1" priority="6">
      <formula>#REF!="N/A"</formula>
    </cfRule>
  </conditionalFormatting>
  <conditionalFormatting sqref="C13">
    <cfRule type="expression" dxfId="0" priority="1">
      <formula>#REF!="N/A"</formula>
    </cfRule>
  </conditionalFormatting>
  <dataValidations count="12">
    <dataValidation type="whole" operator="greaterThanOrEqual" allowBlank="1" showInputMessage="1" showErrorMessage="1" error="输入所欠贷款余额。金额必须大于 0。选择“重试”可输入新值，选择“取消”可返回单元格" prompt="在此单元格中输入所欠余额" sqref="C10">
      <formula1>0</formula1>
    </dataValidation>
    <dataValidation type="decimal" operator="greaterThanOrEqual" allowBlank="1" showInputMessage="1" showErrorMessage="1" error="输入利率。金额必须是大于 0 的数值。选择“重试”可输入新值，选择“取消”可返回单元格" prompt="在此单元格中输入利率" sqref="C11">
      <formula1>0</formula1>
    </dataValidation>
    <dataValidation type="whole" operator="greaterThanOrEqual" allowBlank="1" showInputMessage="1" showErrorMessage="1" error="输入每月最低还款。金额必须大于 0。选择“重试”可输入新值，选择“取消”可返回单元格" prompt="在此单元格中输入每月最低还款" sqref="C12">
      <formula1>0</formula1>
    </dataValidation>
    <dataValidation type="whole" operator="greaterThanOrEqual" allowBlank="1" showInputMessage="1" showErrorMessage="1" error="输入每月建议还款。金额必须大于 0。选择“重试”可输入新值，选择“取消”可返回单元格" prompt="在此单元格中输入每月建议还款" sqref="C13">
      <formula1>0</formula1>
    </dataValidation>
    <dataValidation allowBlank="1" showInputMessage="1" prompt="两个簇状柱形图显示还清贷款的月数和应付的总利息。在“贷款详细信息”表的第 C 列“输入值”中输入贷款详细信息，自动更新图表。也可以在第 C 列“金额”下找到图表值 " sqref="A1"/>
    <dataValidation allowBlank="1" showInputMessage="1" showErrorMessage="1" prompt="此列包含计算还清信息和应付利息的所需信息" sqref="B9"/>
    <dataValidation allowBlank="1" showInputMessage="1" showErrorMessage="1" prompt="在此列中输入对应的贷款详细信息值" sqref="C9"/>
    <dataValidation allowBlank="1" showInputMessage="1" showErrorMessage="1" prompt="图表显示基于最低还款和建议还款的还清贷款月数对比" sqref="B3"/>
    <dataValidation allowBlank="1" showInputMessage="1" showErrorMessage="1" prompt="图表显示基于最低还款和建议还款的应付总利息对比" sqref="C3"/>
    <dataValidation allowBlank="1" showInputMessage="1" showErrorMessage="1" prompt="第 3 行中包含用于生成对比图表的信息。B5-B8 包含标签，C5-C8 包含自动计算的金额" sqref="B4"/>
    <dataValidation allowBlank="1" showInputMessage="1" showErrorMessage="1" prompt="此列中列出的金额由系统基于“贷款详细信息”表“输入值”列中输入的数据自动计算" sqref="C4"/>
    <dataValidation allowBlank="1" showInputMessage="1" showErrorMessage="1" prompt="自动计算的值" sqref="C5:C8"/>
  </dataValidations>
  <printOptions horizontalCentered="1"/>
  <pageMargins left="0.7" right="0.7" top="0.75" bottom="0.75" header="0.3" footer="0.3"/>
  <pageSetup paperSize="9" fitToHeight="0" orientation="portrait" r:id="rId1"/>
  <headerFooter differentFirst="1">
    <oddFooter>&amp;CPage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还款计算表</vt:lpstr>
      <vt:lpstr>ColumnTitle1</vt:lpstr>
      <vt:lpstr>还款计算表!Print_Titles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2016-08-03T05:33:11Z</dcterms:created>
  <dcterms:modified xsi:type="dcterms:W3CDTF">2017-01-10T02:29:39Z</dcterms:modified>
</cp:coreProperties>
</file>