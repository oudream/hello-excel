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workbookPr codeName="ThisWorkbook" defaultThemeVersion="166925"/>
  <mc:AlternateContent xmlns:mc="http://schemas.openxmlformats.org/markup-compatibility/2006">
    <mc:Choice Requires="x15">
      <x15ac:absPath xmlns:x15ac="http://schemas.microsoft.com/office/spreadsheetml/2010/11/ac" url="\\deli\projects\Office_Online\technicians\ZivYang\20180330\Bug2222714\zh-CN\target\"/>
    </mc:Choice>
  </mc:AlternateContent>
  <xr:revisionPtr revIDLastSave="0" documentId="13_ncr:1_{7E480129-B40A-4DCD-BDCF-4993F10881B3}" xr6:coauthVersionLast="28" xr6:coauthVersionMax="28" xr10:uidLastSave="{00000000-0000-0000-0000-000000000000}"/>
  <bookViews>
    <workbookView xWindow="0" yWindow="0" windowWidth="28800" windowHeight="13410" tabRatio="927" xr2:uid="{00000000-000D-0000-FFFF-FFFF00000000}"/>
  </bookViews>
  <sheets>
    <sheet name="开始" sheetId="2" r:id="rId1"/>
    <sheet name="基础知识" sheetId="19" r:id="rId2"/>
    <sheet name="函数简介" sheetId="16" r:id="rId3"/>
    <sheet name="AVERAGE" sheetId="1" r:id="rId4"/>
    <sheet name="MIN 和 MAX" sheetId="11" r:id="rId5"/>
    <sheet name="日期和时间​​" sheetId="10" r:id="rId6"/>
    <sheet name="联接文本和数字" sheetId="15" r:id="rId7"/>
    <sheet name="IF 语句" sheetId="13" r:id="rId8"/>
    <sheet name="VLOOKUP" sheetId="9" r:id="rId9"/>
    <sheet name="条件函数" sheetId="7" r:id="rId10"/>
    <sheet name="函数向导" sheetId="20" r:id="rId11"/>
    <sheet name="公式错误" sheetId="21" r:id="rId12"/>
    <sheet name="了解详细信息" sheetId="17" r:id="rId13"/>
  </sheets>
  <externalReferences>
    <externalReference r:id="rId14"/>
    <externalReference r:id="rId15"/>
  </externalReferences>
  <definedNames>
    <definedName name="_xlnm._FilterDatabase" localSheetId="1" hidden="1">[1]Basics!$P$9:$Q$10</definedName>
    <definedName name="_xlnm._FilterDatabase" localSheetId="9" hidden="1">'[2]Conditional Functions'!$F$2:$H$14</definedName>
    <definedName name="_xlnm.Extract" localSheetId="9">条件函数!$AB$2</definedName>
    <definedName name="grp_WalkMeArrows">"shp_ArrowCurved,txt_WalkMeArrows,shp_ArrowStraight"</definedName>
    <definedName name="grp_WalkMeBrace">"shp_BraceBottom,txt_WalkMeBrace,shp_BraceLeft"</definedName>
    <definedName name="lst_Fruit">tbl_Fruit[水果]</definedName>
    <definedName name="lst_FruitType">tbl_FruitType[苹果]</definedName>
    <definedName name="MoreFruit" localSheetId="2">函数简介!$C$34:$D$39</definedName>
    <definedName name="MoreItems" localSheetId="2">函数简介!$C$44:$D$48</definedName>
    <definedName name="SUMExtraCredit" localSheetId="2">函数简介!$F$9:$G$14</definedName>
    <definedName name="延伸知识" localSheetId="2">函数简介!$F$9:$G$14</definedName>
    <definedName name="总计" localSheetId="2">函数简介!$D$50:$D$51</definedName>
    <definedName name="柠檬">tbl_FruitType5[柠檬]</definedName>
    <definedName name="橙子">tbl_FruitType4[橙子]</definedName>
    <definedName name="水果" localSheetId="2">函数简介!$C$2:$D$6</definedName>
    <definedName name="肉类" localSheetId="2">函数简介!$F$2:$G$6</definedName>
    <definedName name="苹果">tbl_FruitType[苹果]</definedName>
    <definedName name="运费">1.25</definedName>
    <definedName name="销售税">0.0825</definedName>
    <definedName name="项目​​" localSheetId="2">函数简介!$C$9:$D$14</definedName>
    <definedName name="香蕉">tbl_FruitType6[香蕉]</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3" i="7" l="1"/>
  <c r="F6" i="10" l="1"/>
  <c r="A4" i="7" l="1"/>
  <c r="D43" i="9" l="1"/>
  <c r="D12" i="13"/>
  <c r="F29" i="13"/>
  <c r="F35" i="13"/>
  <c r="E31" i="13"/>
  <c r="F28" i="13"/>
  <c r="E3" i="15"/>
  <c r="F31" i="13" l="1"/>
  <c r="F33" i="13" s="1"/>
  <c r="D10" i="20"/>
  <c r="G51" i="16"/>
  <c r="D7" i="16" l="1"/>
  <c r="G7" i="19"/>
  <c r="D36" i="21"/>
  <c r="D8" i="10" l="1"/>
  <c r="D9" i="21"/>
  <c r="J43" i="19" l="1"/>
  <c r="E106" i="7" l="1"/>
  <c r="G6" i="19" l="1"/>
  <c r="G5" i="19"/>
  <c r="G4" i="19"/>
  <c r="G3" i="19"/>
  <c r="G43" i="9" l="1"/>
  <c r="F3" i="15"/>
  <c r="D36" i="10" l="1"/>
  <c r="H64" i="7" l="1"/>
  <c r="D64" i="7"/>
  <c r="D51" i="16" l="1"/>
  <c r="G15" i="11" l="1"/>
  <c r="D39" i="16"/>
  <c r="D29" i="15"/>
  <c r="C37" i="15" s="1"/>
  <c r="D28" i="15"/>
  <c r="C36" i="15" s="1"/>
  <c r="F37" i="13" l="1"/>
  <c r="C32" i="15"/>
  <c r="D11" i="10"/>
  <c r="C33" i="15"/>
</calcChain>
</file>

<file path=xl/sharedStrings.xml><?xml version="1.0" encoding="utf-8"?>
<sst xmlns="http://schemas.openxmlformats.org/spreadsheetml/2006/main" count="645" uniqueCount="314">
  <si>
    <t>公式入门</t>
  </si>
  <si>
    <t>按 Ctrl+Home 返回页首。若要开始教程，请按 Ctrl+PageDown。</t>
  </si>
  <si>
    <t>基础知识：使用 Excel 进行数学计算</t>
  </si>
  <si>
    <t xml:space="preserve">你可以在 Excel 中进行加、减、乘、除运算，无需使用任何内置函数。只需使用部分基本运算符：+、-、*、/。所有公式均以等号 (=) 开头。
</t>
  </si>
  <si>
    <t xml:space="preserve">若要相加，选择单元格 F3，键入 =C3+C4，然后按 Enter。 
</t>
  </si>
  <si>
    <t xml:space="preserve">若要相减，选择单元格 F4，键入 =C3-C4，然后按 Enter。 </t>
  </si>
  <si>
    <t xml:space="preserve">若要相乘，选择单元格 F5，键入 =C3*C4，然后按 Enter。
</t>
  </si>
  <si>
    <t xml:space="preserve">若要相除，选择单元格 F6，键入 =C3/C4，然后按 Enter。
</t>
  </si>
  <si>
    <t>看看这个：更改单元格 C3 和 C4 中的数字，并观看公式结果自动更改。</t>
  </si>
  <si>
    <t>延伸知识：可以使用脱字符 (^) 对值进行幂运算，例如 =A1^A2。使用 Shift+6 输入该符号。在单元格 F7 中，输入 =C3^C4。</t>
  </si>
  <si>
    <t>向下滚动查看更多详细信息</t>
  </si>
  <si>
    <t>下一步</t>
  </si>
  <si>
    <t>有关公式、单元格和区域的详细信息</t>
  </si>
  <si>
    <t xml:space="preserve">Excel 由组成行和列的单个单元格构成。行采用数字编号，列采用字母标明。共有一百多万行和 16,000 多列，可将公式放入其中任何位置。 
</t>
  </si>
  <si>
    <t xml:space="preserve">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
</t>
  </si>
  <si>
    <t xml:space="preserve">带有函数的公式以等号开头，随后是函数名称，后接用括号括起来的参数（函数用于计算的值）。 
</t>
  </si>
  <si>
    <t xml:space="preserve">按 Enter 即可确认公式。执行该操作后，公式将进行计算，结果将显示在单元格中。若要查看公式本身，可查看功能区下方的编辑栏，或按 F2 进入“编辑”模式，你将在单元格中看到公式。再次按 Enter 完成公式并计算结果。
</t>
  </si>
  <si>
    <t>部分公式说明</t>
  </si>
  <si>
    <t>=SUM(A1:A10) 是一个公式，其中 SUM 是函数名称，左括号和右括号包含公式参数，A1:A10 是该函数的单元格区域。</t>
  </si>
  <si>
    <t>=SUM(A1:A10,C1:C10) 是一个公式，其中 SUM 是函数名称，左括号和右括号包含公式参数，A1:A10、C1:C10 是该函数的单元格区域，由逗号分隔。</t>
  </si>
  <si>
    <t xml:space="preserve">扩展知识：常数是在单元格或公式中输入的值。虽然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
例如：选择下方值为 12 的黄色单元格。你将看到我们对一个区域的单元格使用 SUM 函数。我们未直接在公式中键入“4”或“8”。 
</t>
  </si>
  <si>
    <t>上一个工作表</t>
  </si>
  <si>
    <t>下一个工作表</t>
  </si>
  <si>
    <t>访问网页获取详细信息</t>
  </si>
  <si>
    <t>使用 Excel 作为计算器</t>
  </si>
  <si>
    <t>Excel 中的公式概述</t>
  </si>
  <si>
    <t>免费 Excel 在线培训</t>
  </si>
  <si>
    <t>要使用的数：</t>
  </si>
  <si>
    <t>运算：</t>
  </si>
  <si>
    <t xml:space="preserve">加法 (+) </t>
  </si>
  <si>
    <t xml:space="preserve">减法 (-) </t>
  </si>
  <si>
    <t xml:space="preserve">乘法 (*) </t>
  </si>
  <si>
    <t xml:space="preserve">除法 (/) </t>
  </si>
  <si>
    <t xml:space="preserve">幂 (^) </t>
  </si>
  <si>
    <t>公式：</t>
  </si>
  <si>
    <t>运算结果：</t>
  </si>
  <si>
    <t>值</t>
  </si>
  <si>
    <t>函数简介</t>
  </si>
  <si>
    <t>函数可为你提供执行各种任务的功能，如进行数学运算、查找值或者计算日期和时间。让我们使用 SUM 函数，通过几种方法对值进行相加。</t>
  </si>
  <si>
    <t xml:space="preserve">在水果数量列（单元格 D7）下，输入 =SUM(D3:D6) 或键入 =SUM(，然后用鼠标选择区域并按 Enter。这将对单元格 D3、D4、D5 和 D6 中的值进行求和。运算结果应为 170。
</t>
  </si>
  <si>
    <t xml:space="preserve">现在，让我们尝试自动求和。选择肉类列下的单元格（单元格 G7），然后转到“公式”&gt;“自动求和”&gt;选择“求和”。将看到 Excel 自动为你输入公式。按 Enter 进行确认。自动求和功能包含所有最常用的函数。
</t>
  </si>
  <si>
    <t>下面是简便的键盘快捷方式。选择单元格 D15 并按 Alt =，然后按 Enter。这将为你自动输入 SUM。</t>
  </si>
  <si>
    <t>延伸知识
请使用任何尝试过的方法试用 COUNT 函数。COUNT 函数可对包含数字的单元格区域进行计数。</t>
  </si>
  <si>
    <t>有关函数的详细信息</t>
  </si>
  <si>
    <t>转到“公式”选项卡并浏览函数库，其中函数按类别列出，如文本、日期和时间等。使用“插入函数”可按名称搜索函数，并启动可助你生成公式的向导。
如果在按 = 后开始键入函数，Excel 将启动 Intellisense，列出以键入字母开头的所有函数。找到所需函数后，请按 Tab，Excel 将自动完成函数名称并为你输入左括号。此外还将显示可选和必需参数。
现在我们来看一下几个函数的解析。SUM 函数的结构如下所示：</t>
  </si>
  <si>
    <t xml:space="preserve">如果对 SUM 函数进行解释，应会是：返回单元格 D38 到 D41 中的所有值以及 H 列的所有值的总和。SUM 是函数名称，D38:D41 是几乎始终需要的第一个区域参数，而 H:H 是第二个区域参数，用逗号分隔。现在，我们来试用一个不需要任何参数的函数。
</t>
  </si>
  <si>
    <t>TODAY 函数可返回当前日期。它会在 Excel 重新计算时自动更新。</t>
  </si>
  <si>
    <t>有关 SUM 函数的全部内容</t>
  </si>
  <si>
    <t>有关 COUNT 函数的全部内容</t>
  </si>
  <si>
    <t>返回页首</t>
  </si>
  <si>
    <t>按 Ctrl+Home 返回页首。若要继续下一步，请按 Ctrl+PageDown。</t>
  </si>
  <si>
    <t>水果</t>
  </si>
  <si>
    <t>苹果</t>
  </si>
  <si>
    <t>橙子</t>
  </si>
  <si>
    <t>香蕉</t>
  </si>
  <si>
    <t>柠檬</t>
  </si>
  <si>
    <t xml:space="preserve">SUM &gt; </t>
  </si>
  <si>
    <t>物品</t>
  </si>
  <si>
    <t>面包</t>
  </si>
  <si>
    <t>甜甜圈</t>
  </si>
  <si>
    <t>曲奇饼</t>
  </si>
  <si>
    <t>蛋糕</t>
  </si>
  <si>
    <t>馅饼</t>
  </si>
  <si>
    <t>汽车</t>
  </si>
  <si>
    <t>卡车</t>
  </si>
  <si>
    <t>自行车</t>
  </si>
  <si>
    <t>滑板</t>
  </si>
  <si>
    <t>数量</t>
  </si>
  <si>
    <t>金额</t>
  </si>
  <si>
    <t>总计:</t>
  </si>
  <si>
    <t>肉类</t>
  </si>
  <si>
    <t>牛肉</t>
  </si>
  <si>
    <t>鸡肉</t>
  </si>
  <si>
    <t>猪肉</t>
  </si>
  <si>
    <t>鱼肉</t>
  </si>
  <si>
    <t>COUNT &gt;</t>
  </si>
  <si>
    <t>其他值：</t>
  </si>
  <si>
    <t>新的总计</t>
  </si>
  <si>
    <t>AVERAGE 函数</t>
  </si>
  <si>
    <t xml:space="preserve">看看这个
选择任意范围内的数字，然后查看状态栏获取即时平均值。
</t>
  </si>
  <si>
    <t>激活上一个工作表</t>
  </si>
  <si>
    <t>转到下一个工作表</t>
  </si>
  <si>
    <t xml:space="preserve">延伸知识
尝试在此处使用 MEDIAN 或 MODE。
MEDIAN 为你提供数据集的中间值，而
MODE 为你提供最常出现的值。
</t>
  </si>
  <si>
    <t>访问链接，从网页上了解详细信息</t>
  </si>
  <si>
    <t>选择此处，从网页上了解有关 AVERAGE 函数的全部内容</t>
  </si>
  <si>
    <t>选择此处，从网页上了解有关 MEDIAN 函数的全部内容</t>
  </si>
  <si>
    <t>选择此处，从网页上了解有关 MODE 函数的全部内容</t>
  </si>
  <si>
    <t>选择此处，从网页上了解免费 Excel 培训</t>
  </si>
  <si>
    <t>AVERAGE &gt;</t>
  </si>
  <si>
    <t xml:space="preserve">有关 SUM 函数的详细信息 </t>
  </si>
  <si>
    <t>在上面的一些提示中，我们向你演示了如何使用 SUM 函数。下面是关于该函数的详细信息。</t>
  </si>
  <si>
    <t xml:space="preserve">单元格 C37 到 D41 包含两列数据：“水果”和“金额”。 </t>
  </si>
  <si>
    <t>单元格 D42 中的公式 =SUM(D38:D41)。</t>
  </si>
  <si>
    <t>如果对单元格 D42 中的 SUM 函数进行解释，应会是：对单元格 D38、D39、D40 和 D41 中的值求和。</t>
  </si>
  <si>
    <t>下面是另一种可以使用的方法：</t>
  </si>
  <si>
    <t xml:space="preserve">单元格 C47 到 D48 包含两列数据：“物品”和“金额”。 </t>
  </si>
  <si>
    <t>有关 SUMIF 函数的全部内容</t>
  </si>
  <si>
    <t>MIN 和 MAX 函数</t>
  </si>
  <si>
    <t xml:space="preserve">选择单元格 D7，然后使用“自动求和”向导添加 MIN 函数。
</t>
  </si>
  <si>
    <t xml:space="preserve">现在，选择单元格 G7，然后通过键入 =MAX(D3:D6) 输入 MAX 函数。
</t>
  </si>
  <si>
    <t xml:space="preserve">在单元格 D15 中，可以使用自动求和向导或键入来输入 MIN 或 MAX 函数。 
</t>
  </si>
  <si>
    <t xml:space="preserve">访问网页获取详细信息
</t>
  </si>
  <si>
    <t>有关 MIN 函数的全部内容</t>
  </si>
  <si>
    <t>有关 MAX 函数的全部内容</t>
  </si>
  <si>
    <t xml:space="preserve">扩展知识
可以对多个区域或值使用 MIN 或 MAX，以显示比这些值大或小的值，例如 =MIN(A1:A10,B1:B10) 或 =MAX(A1:A10,B1)，其中 B1 包含一个阈值（如 10），在这种情况下，公式不会返回小于 10 的结果。
</t>
  </si>
  <si>
    <t>MIN &gt;</t>
  </si>
  <si>
    <t>MIN 或 MAX &gt;</t>
  </si>
  <si>
    <t>MAX &gt;</t>
  </si>
  <si>
    <t>日期​​函数</t>
  </si>
  <si>
    <t>Excel 可根据计算机的区域设置提供当前日期。还可以加减日期。</t>
  </si>
  <si>
    <t xml:space="preserve">尝试使用 TODAY 函数，它可向你提供当前日期。这些是实时或可变函数，所以明天打开你的工作簿时，它将显示明天的日期。在单元格 D6 中输入 =TODAY()。 
</t>
  </si>
  <si>
    <t xml:space="preserve">日期相加 - 假设你想要知道帐单截止日期，或需要何时归还图书馆的书籍。可以对日期加上若干天进行确定。在单元格 D10 中，输入随机天数。在单元格 D11 中，我们添加 =D6+D10 以从今天开始计算到期日期。
</t>
  </si>
  <si>
    <t xml:space="preserve">重要详细信息
如果不希望 Excel 显示负数，因为尚未输入你的生日，可以使用 IF 函数，如下所示：=IF(D7="","",D7-D6)，表示“如果 D7 无任何内容，则不显示任何内容，否则显示 D7-D6”。
</t>
  </si>
  <si>
    <t>时间​​函数</t>
  </si>
  <si>
    <t xml:space="preserve">Excel 可根据计算机的区域设置提供当前时间。还可以加减时间。例如，你可能需要记录某个员工每周的工作小时数，并计算其薪酬和加班费用。
</t>
  </si>
  <si>
    <t>有关 TODAY 函数的全部内容</t>
  </si>
  <si>
    <t>有关 NOW 函数的全部内容</t>
  </si>
  <si>
    <t>有关 DATE 函数的全部内容</t>
  </si>
  <si>
    <t>当前日期：</t>
  </si>
  <si>
    <t>出生日期：</t>
  </si>
  <si>
    <t>距生日天数：</t>
  </si>
  <si>
    <t>宽限天数：</t>
  </si>
  <si>
    <t>帐单截止日期：</t>
  </si>
  <si>
    <t>当前时间：</t>
  </si>
  <si>
    <t>每日工作时数</t>
  </si>
  <si>
    <t>上班时间：</t>
  </si>
  <si>
    <t>午餐外出时间：</t>
  </si>
  <si>
    <t>午餐返回时间：</t>
  </si>
  <si>
    <t>下班时间：</t>
  </si>
  <si>
    <t>总工时：</t>
  </si>
  <si>
    <t>静态日期和时间</t>
  </si>
  <si>
    <t>时间：</t>
  </si>
  <si>
    <t>联接不同单元格中的文本</t>
  </si>
  <si>
    <t xml:space="preserve">有很多时候，需要在 Excel 中联接位于不同单元格的文本。此示例很常见，比如名字和姓氏，希望将其合并为名字、姓氏或完整名字。所幸，Excel 允许我们使用与号 (&amp;) 执行该操作，使用 Shift+7 即可输入。
</t>
  </si>
  <si>
    <t xml:space="preserve">在单元格 E3 中，输入 =D3&amp;C3 以联接姓氏和名字。 
</t>
  </si>
  <si>
    <t xml:space="preserve">但 SmithNancy 看起来并不正确。我们需要添加一个逗号和一个空格。为此，我们要使用引号新建文本字符串。这一次，输入 =D3&amp;", "&amp;C3。&amp;", "&amp; 部分允许我们将逗号和空格与单元格中的文本进行联接。
</t>
  </si>
  <si>
    <t xml:space="preserve">为了创建完整的名字，我们先使用空格（但不带逗号）联接名字和姓氏。在 F3 中，输入 =C3&amp;" "&amp;D3。
</t>
  </si>
  <si>
    <t>结合使用文本和数字</t>
  </si>
  <si>
    <t>现在我们将使用 &amp; 联接文本和数字，而不仅仅是文本和文本
请看单元格 C28:D29。看看日期和时间如何显示在单独的单元格中？可以如单元格 C32:C33 中所示，使用 &amp; 符号将其联接起来，但看起来并不正确，对吗？遗憾的是，Excel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TEXT 函数和格式代码实现此操作。</t>
  </si>
  <si>
    <t>值得一读
如果不知道使用什么格式代码，可以使用“Ctrl+1”&gt;“数字”，以所需方式设置任何单元格的格式。然后选择“自定义”选项。可以将显示的格式代码复制回公式中。</t>
  </si>
  <si>
    <t>有关 TEXT 函数的全部内容</t>
  </si>
  <si>
    <t>合并文本和数字</t>
  </si>
  <si>
    <t>姓氏</t>
  </si>
  <si>
    <t>Nancy</t>
  </si>
  <si>
    <t>Andy</t>
  </si>
  <si>
    <t>Jan</t>
  </si>
  <si>
    <t>Mariya</t>
  </si>
  <si>
    <t>Steven</t>
  </si>
  <si>
    <t>Michael</t>
  </si>
  <si>
    <t>Robert</t>
  </si>
  <si>
    <t>Yvonne</t>
  </si>
  <si>
    <t>使用文本和数字</t>
  </si>
  <si>
    <t>联接文本和数字</t>
  </si>
  <si>
    <t>设置文本和数字格式</t>
  </si>
  <si>
    <t>Smith</t>
  </si>
  <si>
    <t>North</t>
  </si>
  <si>
    <t>Kotas</t>
  </si>
  <si>
    <t>Jones</t>
  </si>
  <si>
    <t>Thorpe</t>
  </si>
  <si>
    <t>Neipper</t>
  </si>
  <si>
    <t>Zare</t>
  </si>
  <si>
    <t>McKay</t>
  </si>
  <si>
    <t>姓氏，名字</t>
  </si>
  <si>
    <t>完整姓名</t>
  </si>
  <si>
    <t>IF 语句</t>
  </si>
  <si>
    <t>通过 IF 语句，可以在条件之间进行逻辑比较。IF 语句通常指示某条件为 true 时执行某项操作，否则执行其他操作。公式可以返回文本、值或者更多计算。</t>
  </si>
  <si>
    <t xml:space="preserve">在单元格 D9 中输入 =IF(C9="苹果",TRUE,FALSE)。正确答案为 TRUE。 
</t>
  </si>
  <si>
    <t xml:space="preserve">将 D9 复制到 D10。此处显示的答案应为 FALSE，因为橙子不是苹果。
</t>
  </si>
  <si>
    <t>IF 语句与其他函数配合使用</t>
  </si>
  <si>
    <t xml:space="preserve">IF 语句可在满足特定条件时强制执行其他计算。下面我们将对单元格求值，确定是否应收取销售税，并在条件为 true 时计算该费用。
</t>
  </si>
  <si>
    <t xml:space="preserve">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
</t>
  </si>
  <si>
    <t>扩展知识
创建公式时，Excel 会将公式引用的任何区域四周设为彩色边框，公式中的对应区域也会显示相同的颜色。如果选择单元格 F33 并按 F2 编辑公式，则可以看到此内容。</t>
  </si>
  <si>
    <t xml:space="preserve">专家提示
命名区域使你可以定义某一位置的术语或值，然后将它们重复用于整个工作簿。通过转到“公式”&gt;“名称管理器”，你可以查看此工作簿中的所有命名区域。单击此处了解详细信息。
</t>
  </si>
  <si>
    <t>有关 IF 函数的全部内容</t>
  </si>
  <si>
    <t>有关 IFS 函数的全部内容</t>
  </si>
  <si>
    <t>高级 IF 语句</t>
  </si>
  <si>
    <t>小部件</t>
  </si>
  <si>
    <t>小装置</t>
  </si>
  <si>
    <t>小计</t>
  </si>
  <si>
    <t>销售税？</t>
  </si>
  <si>
    <t>运费？</t>
  </si>
  <si>
    <t>总计</t>
  </si>
  <si>
    <t>成本</t>
  </si>
  <si>
    <t>是</t>
  </si>
  <si>
    <t>VLOOKUP</t>
  </si>
  <si>
    <t xml:space="preserve">VLOOKUP 是 Excel 中使用最广泛的函数之一（也是我们最喜欢的工具之一！）。使用 VLOOKUP，你可查找左侧列中的值，如果找到匹配项，则会在右侧的另一列中返回信息。VLOOKUP 表示：
</t>
  </si>
  <si>
    <t>=VLOOKUP(A1,B:C,2,FALSE)</t>
  </si>
  <si>
    <t>想查找什么内容？</t>
  </si>
  <si>
    <t>如果找到，你希望右侧多少列得到一个值？</t>
  </si>
  <si>
    <t>想在何处查找它？</t>
  </si>
  <si>
    <t>是否想要一个确切的或近似的匹配项？</t>
  </si>
  <si>
    <t xml:space="preserve">在单元格 D22 中，输入 =VLOOKUP(C22,C17:D20,2,FALSE)。苹果的正确答案为 50。VLOOKUP 查找苹果找到了匹配项，并在右侧的一列中返回数量。
</t>
  </si>
  <si>
    <t xml:space="preserve">现在，请自行在肉类部分的单元格 G22 中进行尝试。最终应为 =VLOOKUP(F22,F17:G20,2,FALSE)。
</t>
  </si>
  <si>
    <t>实验
请尝试从下拉列表中选择不同项目。你会看到结果单元格立即自行更新为新值。</t>
  </si>
  <si>
    <t>VLOOKUP 和 #N/A</t>
  </si>
  <si>
    <t xml:space="preserve">无一例外，你会遇到 VLOOKUP 找不到所需内容，并且返回错误 (#N/A) 的情况。有时是单纯的因为查找值不存在，或者因为引用单元格尚无任何值。
</t>
  </si>
  <si>
    <t xml:space="preserve">如果你知道查找值存在，但查找单元格为空，你希望隐藏错误，可以使用 IF 语句。在这种情况下，我们将如单元格 D43 所示嵌套现有 VLOOKUP 公式：
=IF(C43="","",VLOOKUP(C43,C37:D41,2,FALSE))
这表示如果单元格 C43 没有任何内容 ("")，则不返回任何结果，否则返回 VLOOKUP 的结果。请注意公式末尾的第二个右括号。这可关闭 IF 语句。
</t>
  </si>
  <si>
    <t xml:space="preserve">如果不确定查找值是否存在，但仍想抑制 #N/A 错误，可以在单元格 G43 中使用名为 IFERROR 的错误处理函数：=IFERROR(VLOOKUP(F43,F37:G41,2,FALSE),"")。IFERROR 表示，如果 VLOOKUP 返回有效结果，则显示该结果，否则不显示任何内容 ("")。此处我们没有显示任何内容 ("")，但还可以使用数字（0、1、2 等）或文本，如“公式不正确”。
</t>
  </si>
  <si>
    <t>重要详细信息
IFERROR 被称为综合错误处理程序，这意味着它将抑制公式可能引发的任何错误。如果 Excel 通知你公式有需要修复的合法错误，这可能导致问题。
经验法则是不要将错误处理程序添加到公式中，除非确定它们能工作正常。</t>
  </si>
  <si>
    <t>有关 VLOOKUP 函数的全部内容</t>
  </si>
  <si>
    <t>有关 INDEX/MATCH 函数的全部内容</t>
  </si>
  <si>
    <t>有关 IFERROR 函数的全部内容</t>
  </si>
  <si>
    <t>使用数据透视表分析工作表数据</t>
  </si>
  <si>
    <t>油酥糕点</t>
  </si>
  <si>
    <t>条件函数 - SUMIF</t>
  </si>
  <si>
    <t>使用条件函数，你可以根据给定条件或指定的条件对某区域内进行求和、求平均值、计数或获取最小值或最大值。例如，在列表的所有水果中，苹果有多少？或者有多少橙子属于佛罗里达类型？</t>
  </si>
  <si>
    <t>使用 SUMIF，你可以根据在另一区域寻找的特定条件对某一区域求和，例如有多少苹果。选择单元格 D17 并键入 =SUMIF(C3:C14,C17,D3:D14)。SUMIF 的结构如下所示：</t>
  </si>
  <si>
    <t>想查看哪个区域？</t>
  </si>
  <si>
    <t>想查找什么值（文本还是数字）？</t>
  </si>
  <si>
    <t>对于找到的每个匹配项，你要对哪个区域求和？</t>
  </si>
  <si>
    <t xml:space="preserve">SUMIFS 与 SUMIF 相同，但它允许你使用多个条件。因此在此示例中，可查找水果和类型，而不仅仅是按水果排序。选择单元格 H17 并键入 =SUMIFS(H3:H14,F3:F14,F17,G3:G14,G17)。SUMIFS 的结构如下所示：
</t>
  </si>
  <si>
    <t>=SUMIFS(H3:H14,F3:F14,F17,G3:G14,G17)</t>
  </si>
  <si>
    <t>想对哪个区域求和？</t>
  </si>
  <si>
    <t>这是为匹配项查找的第一个范围</t>
  </si>
  <si>
    <t>这是第一个匹配项的条件</t>
  </si>
  <si>
    <t>这是为匹配项查找的第二个范围</t>
  </si>
  <si>
    <t>这是第二个匹配项的条件</t>
  </si>
  <si>
    <t>专家提示
每种水果和类型单元格都有一个下拉列表，可在其中选择不同的水果。试一试，并观看公式自动更新。</t>
  </si>
  <si>
    <t>条件函数 - COUNTIF</t>
  </si>
  <si>
    <t>使用 COUNTIF 和 COUNTIFS，你可以根据指定的条件对某区域的值进行计数。它们与其他 IF 和 IFS 函数稍有不同，它们只有条件区域和条件。它们不对区域进行求值，然后查找另一个区域进行汇总。</t>
  </si>
  <si>
    <t>=COUNTIF(C50:C61,C64)</t>
  </si>
  <si>
    <t>=COUNTIFS(F50:F61,F64,G50:G61,G64)</t>
  </si>
  <si>
    <t>这是进行计数的第一个范围</t>
  </si>
  <si>
    <t>这是进行计数的第二个范围</t>
  </si>
  <si>
    <t>更多条件函数</t>
  </si>
  <si>
    <t xml:space="preserve">你已了解 SUMIF、SUMIFS、COUNTIF 和 COUNTIFS。现在可自行尝试其他函数，例如 AVERAGEIF/S、MAXIFS、MINIFS。它们均以相同的方式构造，因此编写好一个公式以后，只需将函数名称替换为所需名称即可。我们已编写单元格 E106 所需的所有函数，因此你可复制/粘贴它们，或者自行尝试键入进行练习。
SUMIF	=SUMIF(C92:C103,C106,E92:E103)
SUMIFS	=SUMIFS(E92:E103,C92:C103,C106,D92:D103,D106)
AVERAGEIF	=AVERAGEIF(C92:C103,C106,E92:E103)
AVERAGEIFS	=AVERAGEIFS(E92:E103,C92:C103,C106,D92:D92,D106)
COUNTIF	=COUNTIF(C92:C103,C106)
COUNTIFS	=COUNTIFS(C92:C103,C106,D92:D103,D106)
MAXIFS	=MAXIFS(E92:E103,C92:C103,C10,D92:D103,D106)
MINIFS	=MINIFS(E92:E103,C92:C103,C106,D92:D103,D106)
</t>
  </si>
  <si>
    <t>具有值参数的 SUMIF</t>
  </si>
  <si>
    <t>下面的 SUMIF 函数示例使用大于符号 (&gt;) 查找大于给定值的所有值：</t>
  </si>
  <si>
    <t xml:space="preserve">=SUMIF(D118:D122,"&gt;50")
</t>
  </si>
  <si>
    <t>根据此条件来对一些值求和：</t>
  </si>
  <si>
    <t>....遍历查找这些单元格...
 </t>
  </si>
  <si>
    <t>...如果值大于 50，则求和。
 </t>
  </si>
  <si>
    <t>注意：如果需要使用大量条件公式，那么数据透视表是一种更好的解决方案。请参阅此数据透视表文章，了解详细信息。</t>
  </si>
  <si>
    <t>有关 SUMIFS 函数的全部内容</t>
  </si>
  <si>
    <t>有关 COUNTIF 函数的全部内容</t>
  </si>
  <si>
    <t>有关 COUNTIFS 函数的全部内容</t>
  </si>
  <si>
    <t>有关 AVERAGEIF 函数的全部内容</t>
  </si>
  <si>
    <t>有关 AVERAGEIFS 函数的全部内容</t>
  </si>
  <si>
    <t>有关 MINIFS 函数的全部内容</t>
  </si>
  <si>
    <t>有关 MAXIFS 函数的全部内容</t>
  </si>
  <si>
    <t>创建下拉列表</t>
  </si>
  <si>
    <t>项目​​</t>
  </si>
  <si>
    <t>SUMIF</t>
  </si>
  <si>
    <t>COUNTIF</t>
  </si>
  <si>
    <t>类型</t>
  </si>
  <si>
    <t>富士</t>
  </si>
  <si>
    <t>佛罗里达</t>
  </si>
  <si>
    <t>卡文迪什</t>
  </si>
  <si>
    <t>粗皮</t>
  </si>
  <si>
    <t>蜜脆</t>
  </si>
  <si>
    <t>脐橙</t>
  </si>
  <si>
    <t>美人指</t>
  </si>
  <si>
    <t>尤力克</t>
  </si>
  <si>
    <t>试一试</t>
  </si>
  <si>
    <t>SUMIFS</t>
  </si>
  <si>
    <t>COUNTIFS</t>
  </si>
  <si>
    <t>让函数向导指导你</t>
  </si>
  <si>
    <t xml:space="preserve">如果知道所需函数的名称，但不确定如何构建它，可以使用函数向导帮你解决。
</t>
  </si>
  <si>
    <t xml:space="preserve">接下来，在其各自的文本框中输入函数参数。每输入一个参数，Excel 都会对其求值，并显示其结果，最终结果显示在底部。输入每个部分时，窗体底部将列出每个参数的条件。完成后请按“确定”，Excel 将为你输入公式。
</t>
  </si>
  <si>
    <t>看看这个
最终应为 =VLOOKUP(C10,C5:D8,2,FALSE)。</t>
  </si>
  <si>
    <t>扩展知识
可键入单元格和区域引用，或使用鼠标进行选择。</t>
  </si>
  <si>
    <t xml:space="preserve">扩展知识
输入每个参数部分时，公式结果上方的窗体底部将显示参数说明。
</t>
  </si>
  <si>
    <t>修复公式错误</t>
  </si>
  <si>
    <t xml:space="preserve">有时，你会遇到含有错误的公式，Excel 显示为 #ErrorName。错误很有用，因为它们可指出某些内容未正确运行，但进行修复并非易事。所幸，有通过多种方式可帮助你查找错误来源，并进行修复。
</t>
  </si>
  <si>
    <t xml:space="preserve">每次单击“求值”，Excel 都将逐步执行公式，一次一个部分。它不一定会告诉你出现错误的原因，但会指出位置。在这里，查看帮助主题，推导公式出问题的位置。
</t>
  </si>
  <si>
    <t>实验
这里有什么错误？提示：我们正在尝试对所有项目求和。</t>
  </si>
  <si>
    <t xml:space="preserve">扩展知识
单击“选项”，可设置 Excel 中显示或忽略错误的规则。
</t>
  </si>
  <si>
    <t>还有其他 Excel 问题？</t>
  </si>
  <si>
    <t>按 Alt + Q，并键入想要了解的内容。</t>
  </si>
  <si>
    <t>请继续观看。下面是关于 Excel 的更多内容：</t>
  </si>
  <si>
    <t xml:space="preserve">社区：提问并与其他 Excel 爱好者联系。
</t>
  </si>
  <si>
    <t xml:space="preserve">其他新增功能？
Office 365 订阅者将获得持续的更新和新功能。
</t>
  </si>
  <si>
    <t>只需几个步骤，即可在 Excel（世界功能最强大的电子表格应用）中构建公式
和函数并投入使用。</t>
    <phoneticPr fontId="7" type="noConversion"/>
  </si>
  <si>
    <r>
      <t xml:space="preserve">使用 </t>
    </r>
    <r>
      <rPr>
        <b/>
        <sz val="10"/>
        <color theme="0"/>
        <rFont val="Microsoft YaHei UI"/>
        <family val="2"/>
        <charset val="134"/>
      </rPr>
      <t>MAX</t>
    </r>
    <r>
      <rPr>
        <sz val="10"/>
        <color theme="0"/>
        <rFont val="Microsoft YaHei UI"/>
        <family val="2"/>
        <charset val="134"/>
      </rPr>
      <t xml:space="preserve"> 函数获取单元格区域内的最大数字。</t>
    </r>
  </si>
  <si>
    <r>
      <t>选择单元格 D7，然后使用</t>
    </r>
    <r>
      <rPr>
        <b/>
        <sz val="11"/>
        <color theme="0"/>
        <rFont val="Microsoft YaHei UI"/>
        <family val="2"/>
        <charset val="134"/>
      </rPr>
      <t>“自动求和</t>
    </r>
    <r>
      <rPr>
        <sz val="11"/>
        <color theme="0"/>
        <rFont val="Microsoft YaHei UI"/>
        <family val="2"/>
        <charset val="134"/>
      </rPr>
      <t xml:space="preserve">”添加 </t>
    </r>
    <r>
      <rPr>
        <b/>
        <sz val="11"/>
        <color theme="0"/>
        <rFont val="Microsoft YaHei UI"/>
        <family val="2"/>
        <charset val="134"/>
      </rPr>
      <t>AVERAGE</t>
    </r>
    <r>
      <rPr>
        <sz val="11"/>
        <color theme="0"/>
        <rFont val="Microsoft YaHei UI"/>
        <family val="2"/>
        <charset val="134"/>
      </rPr>
      <t xml:space="preserve"> 函数。</t>
    </r>
  </si>
  <si>
    <r>
      <t xml:space="preserve">使用 </t>
    </r>
    <r>
      <rPr>
        <b/>
        <sz val="11"/>
        <color theme="0"/>
        <rFont val="Microsoft YaHei UI"/>
        <family val="2"/>
        <charset val="134"/>
      </rPr>
      <t>AVERAGE</t>
    </r>
    <r>
      <rPr>
        <sz val="11"/>
        <color theme="0"/>
        <rFont val="Microsoft YaHei UI"/>
        <family val="2"/>
        <charset val="134"/>
      </rPr>
      <t xml:space="preserve"> 函数，可获取某区域单元格中数字的平均值。</t>
    </r>
  </si>
  <si>
    <r>
      <t>现在，选择单元格 G7，然后通过键入 =</t>
    </r>
    <r>
      <rPr>
        <b/>
        <sz val="11"/>
        <color theme="0"/>
        <rFont val="Microsoft YaHei UI"/>
        <family val="2"/>
        <charset val="134"/>
      </rPr>
      <t>AVERAGE(G3:G6)</t>
    </r>
    <r>
      <rPr>
        <sz val="11"/>
        <color theme="0"/>
        <rFont val="Microsoft YaHei UI"/>
        <family val="2"/>
        <charset val="134"/>
      </rPr>
      <t xml:space="preserve"> </t>
    </r>
    <r>
      <rPr>
        <b/>
        <sz val="11"/>
        <color theme="0"/>
        <rFont val="Microsoft YaHei UI"/>
        <family val="2"/>
        <charset val="134"/>
      </rPr>
      <t xml:space="preserve">输入 AVERAGE 函数。 </t>
    </r>
  </si>
  <si>
    <r>
      <t xml:space="preserve">使用 </t>
    </r>
    <r>
      <rPr>
        <b/>
        <sz val="10"/>
        <color theme="0"/>
        <rFont val="Microsoft YaHei UI"/>
        <family val="2"/>
        <charset val="134"/>
      </rPr>
      <t>MIN</t>
    </r>
    <r>
      <rPr>
        <sz val="10"/>
        <color theme="0"/>
        <rFont val="Microsoft YaHei UI"/>
        <family val="2"/>
        <charset val="134"/>
      </rPr>
      <t xml:space="preserve"> 函数获取单元格区域内的最小数字。</t>
    </r>
  </si>
  <si>
    <r>
      <t xml:space="preserve">可以对多个区域或值使用 </t>
    </r>
    <r>
      <rPr>
        <b/>
        <sz val="10"/>
        <color theme="0"/>
        <rFont val="Microsoft YaHei UI"/>
        <family val="2"/>
        <charset val="134"/>
      </rPr>
      <t>MIN</t>
    </r>
    <r>
      <rPr>
        <sz val="10"/>
        <color theme="0"/>
        <rFont val="Microsoft YaHei UI"/>
        <family val="2"/>
        <charset val="134"/>
      </rPr>
      <t xml:space="preserve"> 或 </t>
    </r>
    <r>
      <rPr>
        <b/>
        <sz val="10"/>
        <color theme="0"/>
        <rFont val="Microsoft YaHei UI"/>
        <family val="2"/>
        <charset val="134"/>
      </rPr>
      <t>MAX</t>
    </r>
    <r>
      <rPr>
        <sz val="10"/>
        <color theme="0"/>
        <rFont val="Microsoft YaHei UI"/>
        <family val="2"/>
        <charset val="134"/>
      </rPr>
      <t>，以显示比这些值大或小的值，例如 =MIN(A1:A10,B1:B10) 或 =MAX(A1:A10,10)。</t>
    </r>
  </si>
  <si>
    <r>
      <t xml:space="preserve">有关 </t>
    </r>
    <r>
      <rPr>
        <b/>
        <sz val="10"/>
        <color theme="0"/>
        <rFont val="Microsoft YaHei UI"/>
        <family val="2"/>
        <charset val="134"/>
      </rPr>
      <t>MIN</t>
    </r>
    <r>
      <rPr>
        <sz val="10"/>
        <color theme="0"/>
        <rFont val="Microsoft YaHei UI"/>
        <family val="2"/>
        <charset val="134"/>
      </rPr>
      <t xml:space="preserve"> 函数的全部内容</t>
    </r>
  </si>
  <si>
    <r>
      <t xml:space="preserve">有关 </t>
    </r>
    <r>
      <rPr>
        <b/>
        <sz val="10"/>
        <color theme="0"/>
        <rFont val="Microsoft YaHei UI"/>
        <family val="2"/>
        <charset val="134"/>
      </rPr>
      <t>MAX</t>
    </r>
    <r>
      <rPr>
        <sz val="10"/>
        <color theme="0"/>
        <rFont val="Microsoft YaHei UI"/>
        <family val="2"/>
        <charset val="134"/>
      </rPr>
      <t xml:space="preserve"> 函数的全部内容</t>
    </r>
  </si>
  <si>
    <t xml:space="preserve"> =10+20 是一个公式，其中 10 和 20 是常数，而 + 符号是运算符。</t>
    <phoneticPr fontId="7" type="noConversion"/>
  </si>
  <si>
    <t>如果对此公式进行解释，应会是：“用下班时间减去上班时间，然后减去午餐外出/返回时间，然后乘以 24，将 Excel 的小数时间转换为小时”，或 =((上班时间 - 下班时间) - (午餐返回时间 - 午餐外出时间))*24。</t>
    <phoneticPr fontId="7" type="noConversion"/>
  </si>
  <si>
    <t xml:space="preserve">日期相减 - 在单元格 D7 中以 "YYYY年M月D日" 格式输入下一个生日，并在单元格 D8 中使用 =D7-D6 查看 Excel 告诉你距此日期还剩多少天。
</t>
    <phoneticPr fontId="7" type="noConversion"/>
  </si>
  <si>
    <t xml:space="preserve">接下来我们添加 IF 语句，计算是否需要运费。在单元格 F35 中，你将看到 IF(E35="是",SUM(D28:D29)*1.25,0)。这表示“如果单元格 E35 为 是，则计算上述表格中”数量“列的总和，并将其乘以 1.25，否则返回 0”。
</t>
    <phoneticPr fontId="7" type="noConversion"/>
  </si>
  <si>
    <t>苹 果</t>
    <phoneticPr fontId="7" type="noConversion"/>
  </si>
  <si>
    <t xml:space="preserve">错误检查 - 转到“公式”&gt;“错误检查”。这将加载一个对话框，告知你特定错误的一般原因。在单元格 D9 中，引发 #N/A 错误的原因是没有匹配“苹 果”的值。你可以修复此错误，方法是使用存在的值，通过 IFERROR 抑制错误，或知道在使用确实存在的值时错误会消失的情况下忽略它。
</t>
    <phoneticPr fontId="7" type="noConversion"/>
  </si>
  <si>
    <t xml:space="preserve">如果单击“关于 此错误的帮助”，将打开特定于此错误消息的帮助主题。如果单击“显示计算步骤”，将加载“公式求值”对话框。
</t>
    <phoneticPr fontId="7" type="noConversion"/>
  </si>
  <si>
    <t xml:space="preserve">在单元格 D28 中，输入 =NOW()，这将提供当前时间，并在每次 Excel 计算时进行更新。如果需要更改时间格式，可以转到“Ctrl+1”&gt;“数字”&gt;“时间”&gt; 选择所需格式。
</t>
    <phoneticPr fontId="7" type="noConversion"/>
  </si>
  <si>
    <t xml:space="preserve">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
</t>
    <phoneticPr fontId="7" type="noConversion"/>
  </si>
  <si>
    <t xml:space="preserve">公式可包含单元格引用、单元格引用范围、运算符和常数。以下均为公式的示例：
=A1+B1
=10+20
=SUM(A1:A10)
</t>
    <phoneticPr fontId="7" type="noConversion"/>
  </si>
  <si>
    <t>日期：</t>
    <phoneticPr fontId="7" type="noConversion"/>
  </si>
  <si>
    <t>名字</t>
    <phoneticPr fontId="7" type="noConversion"/>
  </si>
  <si>
    <t xml:space="preserve">在单元格 C36 中，输入 =C28&amp;" "&amp;TEXT(D28,"YYYY年M月D日")。YYYY年M月D日是年/月/日的中文格式代码，如 2017年9月25日。
</t>
    <phoneticPr fontId="7" type="noConversion"/>
  </si>
  <si>
    <t xml:space="preserve">在单元格 C37 中，输入 =C29&amp;" "&amp;TEXT(D29,"H:MM")。H:MM 是上午或下午小时:分钟的中文格式代码，如下午 13:30。
</t>
    <phoneticPr fontId="7" type="noConversion"/>
  </si>
  <si>
    <t xml:space="preserve">选择单元格 D10，然后转至“公式”&gt;“插入函数”&gt;在搜索函数框中键入 VLOOKUP，然后按“转到”。看到 VLOOKUP 突出显示时，在底部单击“确定”。选择列表中的函数时，Excel 将显示其语法。
</t>
    <phoneticPr fontId="7" type="noConversion"/>
  </si>
  <si>
    <t>使用"自动求和"对数字进行求和</t>
    <phoneticPr fontId="7" type="noConversion"/>
  </si>
  <si>
    <t>Excel 函数（按字母顺序） </t>
    <phoneticPr fontId="7" type="noConversion"/>
  </si>
  <si>
    <t xml:space="preserve">Excel 函数（按类别列出） </t>
    <phoneticPr fontId="7" type="noConversion"/>
  </si>
  <si>
    <t>Excel 函数（按类别列出）</t>
    <phoneticPr fontId="7" type="noConversion"/>
  </si>
  <si>
    <t>Excel 函数（按字母顺序）</t>
    <phoneticPr fontId="7" type="noConversion"/>
  </si>
  <si>
    <t>检测公式中的错误</t>
    <phoneticPr fontId="7" type="noConversion"/>
  </si>
  <si>
    <t>如何避免损坏的公式</t>
    <phoneticPr fontId="7" type="noConversion"/>
  </si>
  <si>
    <t>对嵌套公式进行分步求值</t>
    <phoneticPr fontId="7" type="noConversion"/>
  </si>
  <si>
    <r>
      <t>在单元格 D15 中，可以使用“</t>
    </r>
    <r>
      <rPr>
        <b/>
        <sz val="11"/>
        <color theme="0"/>
        <rFont val="Microsoft YaHei UI"/>
        <family val="2"/>
        <charset val="134"/>
      </rPr>
      <t>自动求和”</t>
    </r>
    <r>
      <rPr>
        <sz val="11"/>
        <color theme="0"/>
        <rFont val="Microsoft YaHei UI"/>
        <family val="2"/>
        <charset val="134"/>
      </rPr>
      <t>，或键入来输入另一个</t>
    </r>
    <r>
      <rPr>
        <b/>
        <sz val="11"/>
        <color theme="0"/>
        <rFont val="Microsoft YaHei UI"/>
        <family val="2"/>
        <charset val="134"/>
      </rPr>
      <t xml:space="preserve"> </t>
    </r>
    <r>
      <rPr>
        <sz val="11"/>
        <color theme="0"/>
        <rFont val="Microsoft YaHei UI"/>
        <family val="2"/>
        <charset val="134"/>
      </rPr>
      <t xml:space="preserve">AVERAGE 函数。 </t>
    </r>
    <phoneticPr fontId="7" type="noConversion"/>
  </si>
  <si>
    <t>选择单元格 D64 并键入 =COUNTIF(C50:C61,C64)。COUNTIF 的结构如下所示：</t>
    <phoneticPr fontId="7" type="noConversion"/>
  </si>
  <si>
    <t>看看这个
公式，尤其是较长的公式，有时可能难以阅读，但可以使用空格将其分解为如下所示的几部分：
=C28 &amp; " " &amp; TEXT(D28,"YYYY年M月D日")</t>
    <phoneticPr fontId="7" type="noConversion"/>
  </si>
  <si>
    <t xml:space="preserve">扩展知识
Excel 根据从 1900 年 1 月 1 日开始的天数来记录日期和时间。时间以分钟为单位记录在一天的小数部分里。因此 2017年1月1日 中午 12:30 实际存储为 42736.5208。如果时间或日期显示为类似的数字，可按“Ctrl+1”&gt;“数字”&gt;选择“日期”或“时间”格式。 </t>
    <phoneticPr fontId="7" type="noConversion"/>
  </si>
  <si>
    <t>在单元格 F33 中，输入 =IF(E33="是",F31*销售税,0)，其中将销售税设置为值为 0.0825 的命名区域。我们的公式表示如果单元格 E33 等于“是”，则将单元格 F31 乘以销售税，否则返回 0。
尝试将单元格 E33 中的 是 改为 否，查看计算更改。</t>
    <phoneticPr fontId="7" type="noConversion"/>
  </si>
  <si>
    <t xml:space="preserve">看看这个
选择这些单元格。然后在 Excel 窗口的右下角，底部栏中可找到 求和：170。该栏称为“状态栏”，它是快速查找选定单元格或区域的总和与其他详细信息的另一种方式。 </t>
    <phoneticPr fontId="7" type="noConversion"/>
  </si>
  <si>
    <t xml:space="preserve">COUNTIFS 与 SUMIF 相同，但它允许你使用多个条件。因此在此示例中，可查找水果和类型，而不仅仅是按水果排序。选择单元格 H64 并键入 =COUNTIFS(F50:F61,F64,G50:G61,G64)。COUNTIFS 的结构如下所示：
</t>
    <phoneticPr fontId="7" type="noConversion"/>
  </si>
  <si>
    <t xml:space="preserve">重要详细信息
双击此单元格。你会注意到最后那个 100。虽然可以像这样将数字放在公式中，但除非绝对必要，否则我们不推荐这么做。这被称为常量，很容易忘记它的存在。我们建议改为引用另一个单元格，如单元格 F51。这样就可以轻易地查看，而不是隐藏在公式中。 </t>
    <phoneticPr fontId="7" type="noConversion"/>
  </si>
  <si>
    <t xml:space="preserve">请通过查看单元格 D12 中的公式来尝试另一示例。首先输入 =IF(C12&lt;100,"小于 100","大于或等于 100")。如果在单元格 C12 中输入大于或等于 100 的数字， 会怎样？
</t>
    <phoneticPr fontId="7" type="noConversion"/>
  </si>
  <si>
    <t>重要详细信息
TRUE 和 FALSE 与 Excel 公式中的其他词不同，因为它们无需用引号括起来，并且 Excel 会自动将其设为大写。数字也无需用引号括起来。常规文本，如 是 或 否 等词需用引号括起来，如下所示：
=IF(C3="苹果","是","否")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</si>
</sst>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dd/yy;@"/>
    <numFmt numFmtId="165" formatCode="[$-F800]dddd\,\ mmmm\ dd\,\ yyyy"/>
    <numFmt numFmtId="166" formatCode="&quot;¥&quot;#,##0.00_);[Red]\(&quot;¥&quot;#,##0.00\)"/>
    <numFmt numFmtId="167" formatCode="h:mm;@"/>
  </numFmts>
  <fonts count="25">
    <font>
      <sz val="11"/>
      <color theme="1"/>
      <name val="Microsoft YaHei UI"/>
      <family val="2"/>
      <charset val="134"/>
    </font>
    <font>
      <sz val="11"/>
      <color theme="1"/>
      <name val="Microsoft YaHei UI"/>
      <family val="2"/>
      <charset val="134"/>
    </font>
    <font>
      <sz val="11"/>
      <color theme="1"/>
      <name val="Microsoft YaHei UI"/>
      <family val="2"/>
      <charset val="134"/>
    </font>
    <font>
      <u/>
      <sz val="11"/>
      <color theme="10"/>
      <name val="Calibri"/>
      <family val="2"/>
    </font>
    <font>
      <b/>
      <sz val="11"/>
      <color theme="0"/>
      <name val="Microsoft YaHei UI"/>
      <family val="2"/>
      <charset val="134"/>
    </font>
    <font>
      <b/>
      <sz val="11"/>
      <color theme="1"/>
      <name val="Microsoft YaHei UI"/>
      <family val="2"/>
      <charset val="134"/>
    </font>
    <font>
      <sz val="11"/>
      <color theme="0"/>
      <name val="Microsoft YaHei UI"/>
      <family val="2"/>
      <charset val="134"/>
    </font>
    <font>
      <sz val="9"/>
      <name val="宋体"/>
      <family val="3"/>
      <charset val="134"/>
    </font>
    <font>
      <sz val="17"/>
      <color theme="0"/>
      <name val="Microsoft YaHei UI"/>
      <family val="2"/>
      <charset val="134"/>
    </font>
    <font>
      <sz val="72"/>
      <color theme="0"/>
      <name val="Microsoft YaHei UI"/>
      <family val="2"/>
      <charset val="134"/>
    </font>
    <font>
      <sz val="11"/>
      <color rgb="FF0B744D"/>
      <name val="Microsoft YaHei UI"/>
      <family val="2"/>
      <charset val="134"/>
    </font>
    <font>
      <sz val="10"/>
      <color theme="0"/>
      <name val="Microsoft YaHei UI"/>
      <family val="2"/>
      <charset val="134"/>
    </font>
    <font>
      <b/>
      <sz val="10"/>
      <color theme="0"/>
      <name val="Microsoft YaHei UI"/>
      <family val="2"/>
      <charset val="134"/>
    </font>
    <font>
      <sz val="22"/>
      <color rgb="FF3B3838"/>
      <name val="Microsoft YaHei UI"/>
      <family val="2"/>
      <charset val="134"/>
    </font>
    <font>
      <sz val="20"/>
      <color rgb="FF000000"/>
      <name val="Microsoft YaHei UI"/>
      <family val="2"/>
      <charset val="134"/>
    </font>
    <font>
      <u/>
      <sz val="11"/>
      <color theme="10"/>
      <name val="Microsoft YaHei UI"/>
      <family val="2"/>
      <charset val="134"/>
    </font>
    <font>
      <sz val="26"/>
      <color theme="2" tint="-0.749992370372631"/>
      <name val="Microsoft YaHei UI"/>
      <family val="2"/>
      <charset val="134"/>
    </font>
    <font>
      <sz val="12"/>
      <color theme="1" tint="0.249977111117893"/>
      <name val="Microsoft YaHei UI"/>
      <family val="2"/>
      <charset val="134"/>
    </font>
    <font>
      <sz val="11"/>
      <color rgb="FF404040"/>
      <name val="Microsoft YaHei UI"/>
      <family val="2"/>
      <charset val="134"/>
    </font>
    <font>
      <sz val="10"/>
      <color theme="1"/>
      <name val="Microsoft YaHei UI"/>
      <family val="2"/>
      <charset val="134"/>
    </font>
    <font>
      <b/>
      <sz val="11"/>
      <color theme="4"/>
      <name val="Microsoft YaHei UI"/>
      <family val="2"/>
      <charset val="134"/>
    </font>
    <font>
      <b/>
      <sz val="14"/>
      <color rgb="FF404040"/>
      <name val="Microsoft YaHei UI"/>
      <family val="2"/>
      <charset val="134"/>
    </font>
    <font>
      <sz val="12"/>
      <color theme="1"/>
      <name val="Microsoft YaHei UI"/>
      <family val="2"/>
      <charset val="134"/>
    </font>
    <font>
      <sz val="24"/>
      <color theme="1"/>
      <name val="Microsoft YaHei UI"/>
      <family val="2"/>
      <charset val="134"/>
    </font>
    <font>
      <sz val="54"/>
      <color theme="0"/>
      <name val="Microsoft YaHei UI"/>
      <family val="2"/>
      <charset val="134"/>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10" fillId="0" borderId="0" applyFill="0" applyBorder="0">
      <alignment wrapText="1"/>
    </xf>
    <xf numFmtId="0" fontId="2" fillId="0" borderId="0"/>
    <xf numFmtId="0" fontId="9" fillId="2" borderId="0" applyNumberFormat="0" applyBorder="0" applyProtection="0">
      <alignment horizontal="left" indent="1"/>
    </xf>
    <xf numFmtId="0" fontId="8" fillId="2" borderId="0" applyNumberFormat="0" applyProtection="0">
      <alignment horizontal="left" wrapText="1" indent="4"/>
    </xf>
    <xf numFmtId="0" fontId="10" fillId="2" borderId="0" applyNumberFormat="0" applyProtection="0">
      <alignment horizontal="left" wrapText="1" indent="4"/>
    </xf>
    <xf numFmtId="0" fontId="6" fillId="0" borderId="0"/>
    <xf numFmtId="0" fontId="6" fillId="3" borderId="0" applyNumberFormat="0" applyBorder="0" applyProtection="0"/>
    <xf numFmtId="0" fontId="2" fillId="4" borderId="0"/>
    <xf numFmtId="0" fontId="2" fillId="5" borderId="1"/>
    <xf numFmtId="0" fontId="2" fillId="4" borderId="2"/>
    <xf numFmtId="0" fontId="2" fillId="0" borderId="0"/>
    <xf numFmtId="0" fontId="2" fillId="4" borderId="0"/>
    <xf numFmtId="0" fontId="2" fillId="5" borderId="1"/>
    <xf numFmtId="0" fontId="2" fillId="4" borderId="2"/>
    <xf numFmtId="0" fontId="2" fillId="0" borderId="0"/>
    <xf numFmtId="0" fontId="3" fillId="0" borderId="0" applyNumberFormat="0" applyFill="0" applyBorder="0" applyAlignment="0" applyProtection="0"/>
    <xf numFmtId="0" fontId="2" fillId="4" borderId="0"/>
    <xf numFmtId="0" fontId="2" fillId="5" borderId="1"/>
    <xf numFmtId="0" fontId="2" fillId="4" borderId="2"/>
  </cellStyleXfs>
  <cellXfs count="126">
    <xf numFmtId="0" fontId="0" fillId="0" borderId="0" xfId="0"/>
    <xf numFmtId="0" fontId="6" fillId="0" borderId="0" xfId="6" applyFont="1"/>
    <xf numFmtId="0" fontId="6" fillId="0" borderId="0" xfId="0" applyFont="1"/>
    <xf numFmtId="0" fontId="6" fillId="0" borderId="0" xfId="0" applyFont="1" applyAlignment="1">
      <alignment wrapText="1"/>
    </xf>
    <xf numFmtId="0" fontId="11" fillId="0" borderId="0" xfId="0" applyFont="1"/>
    <xf numFmtId="0" fontId="6" fillId="0" borderId="0" xfId="6" applyFont="1" applyAlignment="1">
      <alignment wrapText="1"/>
    </xf>
    <xf numFmtId="0" fontId="6" fillId="3" borderId="0" xfId="7" applyFont="1" applyAlignment="1">
      <alignment horizontal="right"/>
    </xf>
    <xf numFmtId="0" fontId="6" fillId="0" borderId="0" xfId="15" applyFont="1"/>
    <xf numFmtId="0" fontId="6" fillId="3" borderId="0" xfId="7" applyFont="1"/>
    <xf numFmtId="0" fontId="6" fillId="0" borderId="0" xfId="2" applyFont="1" applyAlignment="1"/>
    <xf numFmtId="0" fontId="2" fillId="0" borderId="0" xfId="0" applyFont="1"/>
    <xf numFmtId="0" fontId="13" fillId="0" borderId="0" xfId="0" applyFont="1" applyAlignment="1">
      <alignment horizontal="centerContinuous" vertical="center"/>
    </xf>
    <xf numFmtId="0" fontId="2" fillId="0" borderId="0" xfId="0" applyFont="1" applyAlignment="1">
      <alignment horizontal="centerContinuous"/>
    </xf>
    <xf numFmtId="0" fontId="6" fillId="3" borderId="0" xfId="7" applyFont="1" applyAlignment="1">
      <alignment horizontal="center" vertical="center"/>
    </xf>
    <xf numFmtId="0" fontId="2" fillId="4" borderId="2" xfId="10" applyFont="1"/>
    <xf numFmtId="0" fontId="2" fillId="4" borderId="6" xfId="17" applyFont="1" applyBorder="1" applyAlignment="1">
      <alignment horizontal="left"/>
    </xf>
    <xf numFmtId="0" fontId="2" fillId="5" borderId="5" xfId="18" applyFont="1" applyBorder="1"/>
    <xf numFmtId="0" fontId="2" fillId="4" borderId="6" xfId="8" applyFont="1" applyBorder="1"/>
    <xf numFmtId="0" fontId="2" fillId="4" borderId="2" xfId="14" applyFont="1"/>
    <xf numFmtId="0" fontId="6" fillId="0" borderId="0" xfId="0" applyFont="1" applyAlignment="1"/>
    <xf numFmtId="0" fontId="14" fillId="0" borderId="0" xfId="0" applyFont="1"/>
    <xf numFmtId="0" fontId="2" fillId="4" borderId="0" xfId="17" applyFont="1"/>
    <xf numFmtId="0" fontId="2" fillId="5" borderId="1" xfId="18" applyFont="1"/>
    <xf numFmtId="0" fontId="15" fillId="0" borderId="0" xfId="16" applyFont="1"/>
    <xf numFmtId="0" fontId="2" fillId="0" borderId="0" xfId="0" applyFont="1" applyFill="1"/>
    <xf numFmtId="0" fontId="16" fillId="0" borderId="0" xfId="11" applyFont="1" applyAlignment="1"/>
    <xf numFmtId="0" fontId="2" fillId="0" borderId="0" xfId="11" applyFont="1" applyAlignment="1">
      <alignment horizontal="centerContinuous"/>
    </xf>
    <xf numFmtId="0" fontId="2" fillId="0" borderId="0" xfId="11" applyFont="1" applyAlignment="1"/>
    <xf numFmtId="0" fontId="17" fillId="0" borderId="0" xfId="11" applyFont="1" applyAlignment="1"/>
    <xf numFmtId="0" fontId="2" fillId="4" borderId="6" xfId="12" applyFont="1" applyBorder="1"/>
    <xf numFmtId="0" fontId="2" fillId="0" borderId="0" xfId="11" applyFont="1" applyAlignment="1">
      <alignment horizontal="left"/>
    </xf>
    <xf numFmtId="0" fontId="17" fillId="0" borderId="0" xfId="11" applyFont="1" applyAlignment="1">
      <alignment horizontal="left"/>
    </xf>
    <xf numFmtId="0" fontId="2" fillId="4" borderId="8" xfId="12" applyFont="1" applyBorder="1"/>
    <xf numFmtId="0" fontId="5" fillId="0" borderId="9" xfId="11" applyFont="1" applyBorder="1" applyAlignment="1">
      <alignment horizontal="left"/>
    </xf>
    <xf numFmtId="0" fontId="2" fillId="5" borderId="10" xfId="13" applyFont="1" applyBorder="1"/>
    <xf numFmtId="0" fontId="2" fillId="5" borderId="7" xfId="13" applyFont="1" applyBorder="1"/>
    <xf numFmtId="0" fontId="2" fillId="0" borderId="0" xfId="11" applyFont="1"/>
    <xf numFmtId="0" fontId="2" fillId="5" borderId="1" xfId="13" applyFont="1" applyAlignment="1">
      <alignment horizontal="right"/>
    </xf>
    <xf numFmtId="0" fontId="2" fillId="5" borderId="1" xfId="13" applyFont="1" applyAlignment="1"/>
    <xf numFmtId="0" fontId="11" fillId="0" borderId="0" xfId="2" applyFont="1" applyAlignment="1">
      <alignment wrapText="1"/>
    </xf>
    <xf numFmtId="0" fontId="2" fillId="0" borderId="0" xfId="2" applyFont="1" applyAlignment="1"/>
    <xf numFmtId="0" fontId="2" fillId="0" borderId="0" xfId="2" applyFont="1" applyAlignment="1">
      <alignment horizontal="centerContinuous"/>
    </xf>
    <xf numFmtId="0" fontId="2" fillId="0" borderId="0" xfId="2" applyFont="1" applyAlignment="1">
      <alignment horizontal="right"/>
    </xf>
    <xf numFmtId="0" fontId="6" fillId="3" borderId="0" xfId="7" applyFont="1" applyAlignment="1">
      <alignment horizontal="left"/>
    </xf>
    <xf numFmtId="0" fontId="18" fillId="0" borderId="0" xfId="0" applyFont="1"/>
    <xf numFmtId="0" fontId="2" fillId="4" borderId="6" xfId="8" applyFont="1" applyBorder="1" applyAlignment="1">
      <alignment horizontal="right"/>
    </xf>
    <xf numFmtId="0" fontId="2" fillId="4" borderId="6" xfId="8" applyFont="1" applyBorder="1" applyAlignment="1">
      <alignment horizontal="left"/>
    </xf>
    <xf numFmtId="0" fontId="2" fillId="0" borderId="0" xfId="2" applyFont="1" applyAlignment="1">
      <alignment horizontal="left"/>
    </xf>
    <xf numFmtId="0" fontId="6" fillId="0" borderId="0" xfId="2" applyFont="1" applyAlignment="1">
      <alignment horizontal="left" wrapText="1"/>
    </xf>
    <xf numFmtId="0" fontId="5" fillId="0" borderId="0" xfId="2" applyFont="1" applyAlignment="1">
      <alignment horizontal="left"/>
    </xf>
    <xf numFmtId="0" fontId="2" fillId="5" borderId="7" xfId="9" applyFont="1" applyBorder="1" applyAlignment="1">
      <alignment horizontal="right"/>
    </xf>
    <xf numFmtId="0" fontId="11" fillId="0" borderId="0" xfId="2" applyFont="1" applyAlignment="1">
      <alignment horizontal="left"/>
    </xf>
    <xf numFmtId="0" fontId="19" fillId="0" borderId="0" xfId="2" applyFont="1" applyAlignment="1">
      <alignment horizontal="left"/>
    </xf>
    <xf numFmtId="0" fontId="11" fillId="0" borderId="0" xfId="2" applyFont="1" applyAlignment="1"/>
    <xf numFmtId="0" fontId="2" fillId="0" borderId="0" xfId="2" applyFont="1"/>
    <xf numFmtId="0" fontId="11" fillId="0" borderId="0" xfId="6" applyFont="1"/>
    <xf numFmtId="0" fontId="11" fillId="0" borderId="0" xfId="0" applyFont="1" applyAlignment="1">
      <alignment wrapText="1"/>
    </xf>
    <xf numFmtId="0" fontId="11" fillId="0" borderId="0" xfId="2" applyFont="1" applyAlignment="1">
      <alignment horizontal="left" wrapText="1"/>
    </xf>
    <xf numFmtId="0" fontId="12" fillId="0" borderId="0" xfId="0" applyFont="1"/>
    <xf numFmtId="0" fontId="4" fillId="3" borderId="0" xfId="7" applyFont="1" applyAlignment="1">
      <alignment horizontal="centerContinuous"/>
    </xf>
    <xf numFmtId="0" fontId="20" fillId="0" borderId="0" xfId="0" applyFont="1"/>
    <xf numFmtId="0" fontId="2" fillId="4" borderId="11" xfId="10" applyFont="1" applyBorder="1"/>
    <xf numFmtId="0" fontId="2" fillId="5" borderId="10" xfId="9" applyFont="1" applyBorder="1"/>
    <xf numFmtId="0" fontId="2" fillId="5" borderId="1" xfId="9" applyFont="1"/>
    <xf numFmtId="14" fontId="2" fillId="0" borderId="0" xfId="0" applyNumberFormat="1" applyFont="1"/>
    <xf numFmtId="0" fontId="2" fillId="0" borderId="0" xfId="0" applyFont="1" applyAlignment="1">
      <alignment vertical="center"/>
    </xf>
    <xf numFmtId="0" fontId="13" fillId="0" borderId="0" xfId="0" applyFont="1" applyAlignment="1">
      <alignment horizontal="center" vertical="center"/>
    </xf>
    <xf numFmtId="0" fontId="2" fillId="0" borderId="0" xfId="0" applyFont="1" applyAlignment="1"/>
    <xf numFmtId="0" fontId="4" fillId="3" borderId="0" xfId="7" applyFont="1" applyAlignment="1">
      <alignment horizontal="centerContinuous" vertical="center"/>
    </xf>
    <xf numFmtId="0" fontId="2" fillId="4" borderId="1" xfId="8" applyFont="1" applyBorder="1"/>
    <xf numFmtId="164" fontId="2" fillId="5" borderId="1" xfId="9" applyNumberFormat="1" applyFont="1" applyAlignment="1">
      <alignment horizontal="right" vertical="center"/>
    </xf>
    <xf numFmtId="0" fontId="2" fillId="4" borderId="2" xfId="10" applyFont="1" applyAlignment="1">
      <alignment horizontal="center" vertical="center"/>
    </xf>
    <xf numFmtId="0" fontId="4" fillId="3" borderId="4" xfId="7" applyFont="1" applyFill="1" applyBorder="1" applyAlignment="1">
      <alignment horizontal="left" vertical="center"/>
    </xf>
    <xf numFmtId="0" fontId="4" fillId="3" borderId="4" xfId="7" applyFont="1" applyFill="1" applyBorder="1" applyAlignment="1">
      <alignment horizontal="right" vertical="center"/>
    </xf>
    <xf numFmtId="0" fontId="2" fillId="6" borderId="4" xfId="0" applyFont="1" applyFill="1" applyBorder="1" applyAlignment="1">
      <alignment vertical="center"/>
    </xf>
    <xf numFmtId="0" fontId="2" fillId="0" borderId="3" xfId="0" applyFont="1" applyBorder="1" applyAlignment="1">
      <alignment vertical="center"/>
    </xf>
    <xf numFmtId="0" fontId="6" fillId="0" borderId="0" xfId="2" applyFont="1" applyAlignment="1">
      <alignment horizontal="left"/>
    </xf>
    <xf numFmtId="0" fontId="2" fillId="0" borderId="0" xfId="0" applyFont="1" applyAlignment="1">
      <alignment horizontal="center"/>
    </xf>
    <xf numFmtId="0" fontId="4" fillId="3" borderId="0" xfId="7" applyFont="1"/>
    <xf numFmtId="0" fontId="4" fillId="3" borderId="0" xfId="7" applyFont="1" applyAlignment="1">
      <alignment horizontal="right"/>
    </xf>
    <xf numFmtId="0" fontId="5" fillId="0" borderId="0" xfId="2" applyFont="1" applyAlignment="1">
      <alignment horizontal="right"/>
    </xf>
    <xf numFmtId="0" fontId="4" fillId="3" borderId="0" xfId="7" applyFont="1" applyAlignment="1">
      <alignment horizontal="left"/>
    </xf>
    <xf numFmtId="0" fontId="2" fillId="4" borderId="2" xfId="10" applyFont="1" applyAlignment="1">
      <alignment horizontal="left"/>
    </xf>
    <xf numFmtId="0" fontId="2" fillId="5" borderId="1" xfId="9" applyFont="1" applyAlignment="1">
      <alignment horizontal="right"/>
    </xf>
    <xf numFmtId="0" fontId="13" fillId="0" borderId="0" xfId="0" applyFont="1" applyAlignment="1">
      <alignment horizontal="center" vertical="center" wrapText="1"/>
    </xf>
    <xf numFmtId="0" fontId="2" fillId="0" borderId="0" xfId="0" applyFont="1" applyAlignment="1">
      <alignment horizontal="center" wrapText="1"/>
    </xf>
    <xf numFmtId="0" fontId="6" fillId="0" borderId="0" xfId="6" applyFont="1" applyAlignment="1">
      <alignment horizontal="centerContinuous"/>
    </xf>
    <xf numFmtId="0" fontId="2" fillId="4" borderId="0" xfId="8" applyFont="1"/>
    <xf numFmtId="0" fontId="21" fillId="0" borderId="0" xfId="0" applyFont="1"/>
    <xf numFmtId="0" fontId="18" fillId="0" borderId="0" xfId="0" applyFont="1" applyAlignment="1">
      <alignment horizontal="center"/>
    </xf>
    <xf numFmtId="0" fontId="18" fillId="0" borderId="0" xfId="0" applyFont="1" applyAlignment="1">
      <alignment horizontal="left" indent="1"/>
    </xf>
    <xf numFmtId="0" fontId="6" fillId="0" borderId="0" xfId="0" quotePrefix="1" applyFont="1"/>
    <xf numFmtId="0" fontId="2" fillId="0" borderId="0" xfId="2" applyFont="1" applyAlignment="1">
      <alignment horizontal="left" indent="1"/>
    </xf>
    <xf numFmtId="0" fontId="18" fillId="0" borderId="0" xfId="0" applyFont="1" applyAlignment="1">
      <alignment horizontal="left" indent="2"/>
    </xf>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4" borderId="0" xfId="8" applyFont="1" applyAlignment="1">
      <alignment horizontal="right"/>
    </xf>
    <xf numFmtId="0" fontId="2" fillId="4" borderId="0" xfId="12" applyFont="1"/>
    <xf numFmtId="0" fontId="2" fillId="0" borderId="0" xfId="11" applyFont="1" applyAlignment="1">
      <alignment horizontal="left" indent="1"/>
    </xf>
    <xf numFmtId="0" fontId="2" fillId="0" borderId="0" xfId="0" applyFont="1" applyAlignment="1">
      <alignment horizontal="centerContinuous" vertical="center"/>
    </xf>
    <xf numFmtId="0" fontId="2" fillId="0" borderId="0" xfId="0" applyFont="1" applyAlignment="1">
      <alignment horizontal="center" vertical="center"/>
    </xf>
    <xf numFmtId="0" fontId="2" fillId="0" borderId="0" xfId="15" applyFont="1"/>
    <xf numFmtId="0" fontId="22" fillId="0" borderId="0" xfId="15" applyFont="1"/>
    <xf numFmtId="0" fontId="23" fillId="0" borderId="0" xfId="15" applyFont="1" applyAlignment="1">
      <alignment vertical="center"/>
    </xf>
    <xf numFmtId="165" fontId="2" fillId="5" borderId="10" xfId="9" applyNumberFormat="1" applyFont="1" applyBorder="1" applyAlignment="1">
      <alignment horizontal="right"/>
    </xf>
    <xf numFmtId="165" fontId="2" fillId="4" borderId="11" xfId="10" applyNumberFormat="1" applyFont="1" applyBorder="1"/>
    <xf numFmtId="165" fontId="2" fillId="4" borderId="6" xfId="8" applyNumberFormat="1" applyFont="1" applyBorder="1"/>
    <xf numFmtId="0" fontId="2" fillId="5" borderId="1" xfId="9" applyNumberFormat="1" applyFont="1" applyAlignment="1">
      <alignment horizontal="right" vertical="center"/>
    </xf>
    <xf numFmtId="166" fontId="2" fillId="6" borderId="4" xfId="0" applyNumberFormat="1" applyFont="1" applyFill="1" applyBorder="1" applyAlignment="1">
      <alignment vertical="center"/>
    </xf>
    <xf numFmtId="166" fontId="2" fillId="0" borderId="3" xfId="0" applyNumberFormat="1" applyFont="1" applyBorder="1" applyAlignment="1">
      <alignment vertical="center"/>
    </xf>
    <xf numFmtId="166" fontId="2" fillId="0" borderId="0" xfId="0" applyNumberFormat="1" applyFont="1" applyAlignment="1">
      <alignment vertical="center"/>
    </xf>
    <xf numFmtId="166" fontId="2" fillId="5" borderId="1" xfId="9" applyNumberFormat="1" applyFont="1" applyAlignment="1">
      <alignment vertical="center"/>
    </xf>
    <xf numFmtId="0" fontId="1" fillId="4" borderId="2" xfId="10" applyFont="1" applyAlignment="1">
      <alignment horizontal="left"/>
    </xf>
    <xf numFmtId="0" fontId="6" fillId="0" borderId="0" xfId="6"/>
    <xf numFmtId="0" fontId="24" fillId="2" borderId="0" xfId="3" applyFont="1" applyAlignment="1">
      <alignment horizontal="left" indent="1"/>
    </xf>
    <xf numFmtId="0" fontId="8" fillId="2" borderId="0" xfId="4" applyFont="1">
      <alignment horizontal="left" wrapText="1" indent="4"/>
    </xf>
    <xf numFmtId="0" fontId="10" fillId="2" borderId="0" xfId="5" applyFont="1">
      <alignment horizontal="left" wrapText="1" indent="4"/>
    </xf>
    <xf numFmtId="167" fontId="2" fillId="5" borderId="10" xfId="9" applyNumberFormat="1" applyFont="1" applyBorder="1" applyAlignment="1">
      <alignment horizontal="right"/>
    </xf>
    <xf numFmtId="167" fontId="2" fillId="5" borderId="10" xfId="9" applyNumberFormat="1" applyFont="1" applyBorder="1"/>
    <xf numFmtId="167" fontId="2" fillId="4" borderId="6" xfId="8" applyNumberFormat="1" applyFont="1" applyBorder="1"/>
    <xf numFmtId="0" fontId="0" fillId="4" borderId="6" xfId="8" applyFont="1" applyBorder="1"/>
    <xf numFmtId="0" fontId="1" fillId="0" borderId="0" xfId="2" applyFont="1"/>
    <xf numFmtId="0" fontId="6" fillId="0" borderId="0" xfId="2" applyFont="1"/>
    <xf numFmtId="0" fontId="6" fillId="0" borderId="0" xfId="11" applyFont="1" applyAlignment="1">
      <alignment horizontal="left" wrapText="1"/>
    </xf>
  </cellXfs>
  <cellStyles count="20">
    <cellStyle name="Hyperlink" xfId="16" builtinId="8"/>
    <cellStyle name="Normal" xfId="0" builtinId="0" customBuiltin="1"/>
    <cellStyle name="z A 列文本" xfId="6" xr:uid="{00000000-0005-0000-0000-000002000000}"/>
    <cellStyle name="常规 2" xfId="2" xr:uid="{00000000-0005-0000-0000-000003000000}"/>
    <cellStyle name="常规 2 2" xfId="15" xr:uid="{00000000-0005-0000-0000-000004000000}"/>
    <cellStyle name="常规 3" xfId="11" xr:uid="{00000000-0005-0000-0000-000005000000}"/>
    <cellStyle name="开始文本" xfId="1" xr:uid="{00000000-0005-0000-0000-000006000000}"/>
    <cellStyle name="标题 1 2" xfId="4" xr:uid="{00000000-0005-0000-0000-000007000000}"/>
    <cellStyle name="标题 2" xfId="3" xr:uid="{00000000-0005-0000-0000-000008000000}"/>
    <cellStyle name="标题 2 2" xfId="5" xr:uid="{00000000-0005-0000-0000-000009000000}"/>
    <cellStyle name="标题 3 2" xfId="7" xr:uid="{00000000-0005-0000-0000-00000A000000}"/>
    <cellStyle name="橙色边框" xfId="10" xr:uid="{00000000-0005-0000-0000-00000B000000}"/>
    <cellStyle name="橙色边框 2" xfId="14" xr:uid="{00000000-0005-0000-0000-00000C000000}"/>
    <cellStyle name="橙色边框 3" xfId="19" xr:uid="{00000000-0005-0000-0000-00000D000000}"/>
    <cellStyle name="灰色单元格" xfId="8" xr:uid="{00000000-0005-0000-0000-00000E000000}"/>
    <cellStyle name="灰色单元格 2" xfId="12" xr:uid="{00000000-0005-0000-0000-00000F000000}"/>
    <cellStyle name="灰色单元格 2 2" xfId="17" xr:uid="{00000000-0005-0000-0000-000010000000}"/>
    <cellStyle name="黄色单元格" xfId="9" xr:uid="{00000000-0005-0000-0000-000011000000}"/>
    <cellStyle name="黄色单元格 2" xfId="13" xr:uid="{00000000-0005-0000-0000-000012000000}"/>
    <cellStyle name="黄色单元格 2 2" xfId="18" xr:uid="{00000000-0005-0000-0000-000013000000}"/>
  </cellStyles>
  <dxfs count="22">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0"/>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0"/>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0"/>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0"/>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1"/>
        <name val="Microsoft YaHei UI"/>
        <family val="2"/>
        <charset val="134"/>
        <scheme val="none"/>
      </font>
    </dxf>
    <dxf>
      <font>
        <b val="0"/>
        <i val="0"/>
        <strike val="0"/>
        <condense val="0"/>
        <extend val="0"/>
        <outline val="0"/>
        <shadow val="0"/>
        <u val="none"/>
        <vertAlign val="baseline"/>
        <sz val="11"/>
        <color theme="0"/>
        <name val="Microsoft YaHei UI"/>
        <family val="2"/>
        <charset val="134"/>
        <scheme val="none"/>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hyperlink" Target="#&#22522;&#30784;&#30693;&#35782;!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24320;&#22987;!A1"/><Relationship Id="rId7" Type="http://schemas.openxmlformats.org/officeDocument/2006/relationships/image" Target="../media/image4.png"/><Relationship Id="rId12" Type="http://schemas.openxmlformats.org/officeDocument/2006/relationships/hyperlink" Target="https://support.office.com/zh-cn/article/excel-video-training-9bc05390-e94c-46af-a5b3-d7c22f6990bb?ui=zh-CN&amp;rs=zh-001&amp;ad=CN" TargetMode="External"/><Relationship Id="rId2" Type="http://schemas.openxmlformats.org/officeDocument/2006/relationships/hyperlink" Target="#&#20989;&#25968;&#31616;&#20171;!A1"/><Relationship Id="rId16" Type="http://schemas.openxmlformats.org/officeDocument/2006/relationships/image" Target="../media/image9.svg"/><Relationship Id="rId1" Type="http://schemas.openxmlformats.org/officeDocument/2006/relationships/hyperlink" Target="#&#22522;&#30784;&#30693;&#35782;!A60"/><Relationship Id="rId6" Type="http://schemas.openxmlformats.org/officeDocument/2006/relationships/hyperlink" Target="https://support.office.com/zh-cn/article/create-a-pivottable-to-analyze-worksheet-data-a9a84538-bfe9-40a9-a8e9-f99134456576?ui=zh-CN&amp;rs=zh-001&amp;ad=CN" TargetMode="External"/><Relationship Id="rId11" Type="http://schemas.openxmlformats.org/officeDocument/2006/relationships/hyperlink" Target="https://support.office.com/zh-cn/article/excel-functions-alphabetical-b3944572-255d-4efb-bb96-c6d90033e188?ui=zh-CN&amp;rs=zh-001&amp;ad=CN"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zh-cn/article/excel-functions-by-category-5f91f4e9-7b42-46d2-9bd1-63f26a86c0eb?ui=zh-CN&amp;rs=zh-001&amp;ad=CN" TargetMode="External"/><Relationship Id="rId4" Type="http://schemas.openxmlformats.org/officeDocument/2006/relationships/image" Target="../media/image2.png"/><Relationship Id="rId9" Type="http://schemas.openxmlformats.org/officeDocument/2006/relationships/hyperlink" Target="https://support.office.com/zh-cn/article/overview-of-formulas-in-excel-ecfdc708-9162-49e8-b993-c311f47ca173?ui=zh-CN&amp;rs=zh-001&amp;ad=CN"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zh-cn/article/excel-video-training-9bc05390-e94c-46af-a5b3-d7c22f6990bb?ui=zh-CN&amp;rs=zh-001&amp;ad=CN" TargetMode="External"/><Relationship Id="rId13" Type="http://schemas.openxmlformats.org/officeDocument/2006/relationships/image" Target="../media/image7.svg"/><Relationship Id="rId3" Type="http://schemas.openxmlformats.org/officeDocument/2006/relationships/hyperlink" Target="https://support.office.com/zh-cn/article/sum-function-043e1c7d-7726-4e80-8f32-07b23e057f89?ui=zh-CN&amp;rs=zh-001&amp;ad=CN" TargetMode="External"/><Relationship Id="rId7" Type="http://schemas.openxmlformats.org/officeDocument/2006/relationships/hyperlink" Target="https://support.office.com/zh-cn/article/count-function-a59cd7fc-b623-4d93-87a4-d23bf411294c?ui=zh-CN&amp;rs=zh-001&amp;ad=CN" TargetMode="External"/><Relationship Id="rId12" Type="http://schemas.openxmlformats.org/officeDocument/2006/relationships/image" Target="../media/image6.png"/><Relationship Id="rId17" Type="http://schemas.openxmlformats.org/officeDocument/2006/relationships/hyperlink" Target="#&#20989;&#25968;&#31616;&#20171;!A60"/><Relationship Id="rId2" Type="http://schemas.openxmlformats.org/officeDocument/2006/relationships/hyperlink" Target="#AVERAGE!A1"/><Relationship Id="rId16" Type="http://schemas.openxmlformats.org/officeDocument/2006/relationships/image" Target="../media/image13.png"/><Relationship Id="rId1" Type="http://schemas.openxmlformats.org/officeDocument/2006/relationships/hyperlink" Target="#&#20989;&#25968;&#31616;&#20171;!A1"/><Relationship Id="rId6" Type="http://schemas.openxmlformats.org/officeDocument/2006/relationships/hyperlink" Target="https://support.office.com/zh-cn/article/use-autosum-to-sum-numbers-543941e7-e783-44ef-8317-7d1bb85fe706?ui=zh-CN&amp;rs=zh-001&amp;ad=CN"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zh-cn/article/median-function-d0916313-4753-414c-8537-ce85bdd967d2?ui=zh-CN&amp;rs=zh-001&amp;ad=CN" TargetMode="External"/><Relationship Id="rId13" Type="http://schemas.openxmlformats.org/officeDocument/2006/relationships/image" Target="../media/image6.png"/><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hyperlink" Target="#'MIN &#21644; MAX'!A1"/><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hyperlink" Target="#&#20989;&#25968;&#31616;&#20171;!A1"/><Relationship Id="rId5" Type="http://schemas.openxmlformats.org/officeDocument/2006/relationships/hyperlink" Target="https://support.office.com/zh-cn/article/average-function-047bac88-d466-426c-a32b-8f33eb960cf6?ui=zh-CN&amp;rs=zh-001&amp;ad=CN" TargetMode="External"/><Relationship Id="rId10" Type="http://schemas.openxmlformats.org/officeDocument/2006/relationships/hyperlink" Target="https://support.office.com/zh-cn/article/excel-video-training-9bc05390-e94c-46af-a5b3-d7c22f6990bb?ui=zh-CN&amp;rs=zh-001&amp;ad=CN" TargetMode="External"/><Relationship Id="rId4" Type="http://schemas.openxmlformats.org/officeDocument/2006/relationships/hyperlink" Target="#'MIN &amp; MAX'!A1"/><Relationship Id="rId9" Type="http://schemas.openxmlformats.org/officeDocument/2006/relationships/hyperlink" Target="https://support.office.com/zh-cn/article/mode-function-e45192ce-9122-4980-82ed-4bdc34973120?ocmsassetID=E45192CE-9122-4980-82ED-4BDC34973120&amp;ui=zh-CN&amp;rs=zh-001&amp;ad=CN" TargetMode="External"/><Relationship Id="rId14" Type="http://schemas.openxmlformats.org/officeDocument/2006/relationships/image" Target="../media/image7.svg"/></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zh-cn/article/min-function-61635d12-920f-4ce2-a70f-96f202dcc152?ui=zh-CN&amp;rs=zh-001&amp;ad=CN" TargetMode="External"/><Relationship Id="rId6" Type="http://schemas.openxmlformats.org/officeDocument/2006/relationships/image" Target="../media/image8.png"/><Relationship Id="rId5" Type="http://schemas.openxmlformats.org/officeDocument/2006/relationships/hyperlink" Target="https://support.office.com/zh-cn/article/excel-video-training-9bc05390-e94c-46af-a5b3-d7c22f6990bb?ui=zh-CN&amp;rs=zh-001&amp;ad=CN" TargetMode="External"/><Relationship Id="rId4" Type="http://schemas.openxmlformats.org/officeDocument/2006/relationships/hyperlink" Target="https://support.office.com/zh-cn/article/max-function-e0012414-9ac8-4b34-9a47-73e662c08098?ui=zh-CN&amp;rs=zh-001&amp;ad=CN" TargetMode="External"/><Relationship Id="rId9" Type="http://schemas.openxmlformats.org/officeDocument/2006/relationships/hyperlink" Target="#&#26085;&#26399;&#21644;&#26102;&#38388;&#8203;&#8203;!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zh-cn/article/now-function-3337fd29-145a-4347-b2e6-20c904739c46?ui=zh-CN&amp;rs=zh-001&amp;ad=CN" TargetMode="External"/><Relationship Id="rId3" Type="http://schemas.openxmlformats.org/officeDocument/2006/relationships/hyperlink" Target="#'MIN &#21644; MAX'!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support.office.com/zh-cn/article/today-function-5eb3078d-a82c-4736-8930-2f51a028fdd9?ui=zh-CN&amp;rs=zh-001&amp;ad=CN" TargetMode="External"/><Relationship Id="rId10" Type="http://schemas.openxmlformats.org/officeDocument/2006/relationships/hyperlink" Target="https://support.office.com/zh-cn/article/date-function-e36c0c8c-4104-49da-ab83-82328b832349?ui=zh-CN&amp;rs=zh-001&amp;ad=CN" TargetMode="External"/><Relationship Id="rId4" Type="http://schemas.openxmlformats.org/officeDocument/2006/relationships/hyperlink" Target="#&#32852;&#25509;&#25991;&#26412;&#21644;&#25968;&#23383;!A1"/><Relationship Id="rId9" Type="http://schemas.openxmlformats.org/officeDocument/2006/relationships/hyperlink" Target="https://support.office.com/zh-cn/article/excel-video-training-9bc05390-e94c-46af-a5b3-d7c22f6990bb?ui=zh-CN&amp;rs=zh-001&amp;ad=CN"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zh-cn/article/combine-text-and-numbers-a32c8e0e-90a2-435b-8635-5dd2209044ad?ui=zh-CN&amp;rs=zh-001&amp;ad=CN"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35821;&#21477;'!A1"/><Relationship Id="rId1" Type="http://schemas.openxmlformats.org/officeDocument/2006/relationships/hyperlink" Target="#&#26085;&#26399;&#21644;&#26102;&#38388;&#8203;&#8203;!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zh-cn/article/text-function-20d5ac4d-7b94-49fd-bb38-93d29371225c?ui=zh-CN&amp;rs=zh-001&amp;ad=CN" TargetMode="External"/><Relationship Id="rId10" Type="http://schemas.openxmlformats.org/officeDocument/2006/relationships/hyperlink" Target="#&#32852;&#25509;&#25991;&#26412;&#21644;&#25968;&#23383;!A55"/><Relationship Id="rId4" Type="http://schemas.openxmlformats.org/officeDocument/2006/relationships/image" Target="../media/image15.svg"/><Relationship Id="rId9" Type="http://schemas.openxmlformats.org/officeDocument/2006/relationships/hyperlink" Target="https://support.office.com/zh-cn/article/excel-video-training-9bc05390-e94c-46af-a5b3-d7c22f6990bb?ui=zh-CN&amp;rs=zh-001&amp;ad=CN"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support.office.com/zh-cn/article/if-function-%e2%80%93-nested-formulas-and-avoiding-pitfalls-0b22ff44-f149-44ba-aeb5-4ef99da241c8?ui=zh-CN&amp;rs=zh-001&amp;ad=CN" TargetMode="External"/><Relationship Id="rId1" Type="http://schemas.openxmlformats.org/officeDocument/2006/relationships/hyperlink" Target="#VLOOKUP!A1"/><Relationship Id="rId6" Type="http://schemas.openxmlformats.org/officeDocument/2006/relationships/hyperlink" Target="https://support.office.com/zh-cn/article/Define-and-use-names-in-formulas-4D0F13AC-53B7-422E-AFD2-ABD7FF379C64" TargetMode="External"/><Relationship Id="rId11" Type="http://schemas.openxmlformats.org/officeDocument/2006/relationships/hyperlink" Target="https://support.office.com/zh-cn/article/if-function-69aed7c9-4e8a-4755-a9bc-aa8bbff73be2?ui=zh-CN&amp;rs=zh-001&amp;ad=CN" TargetMode="External"/><Relationship Id="rId5" Type="http://schemas.openxmlformats.org/officeDocument/2006/relationships/image" Target="../media/image17.svg"/><Relationship Id="rId15" Type="http://schemas.openxmlformats.org/officeDocument/2006/relationships/hyperlink" Target="https://support.office.com/zh-cn/article/excel-video-training-9bc05390-e94c-46af-a5b3-d7c22f6990bb?ui=zh-CN&amp;rs=zh-001&amp;ad=CN" TargetMode="External"/><Relationship Id="rId10" Type="http://schemas.openxmlformats.org/officeDocument/2006/relationships/hyperlink" Target="#&#32852;&#25509;&#25991;&#26412;&#21644;&#25968;&#23383;!A1"/><Relationship Id="rId4" Type="http://schemas.openxmlformats.org/officeDocument/2006/relationships/image" Target="../media/image16.png"/><Relationship Id="rId9" Type="http://schemas.openxmlformats.org/officeDocument/2006/relationships/hyperlink" Target="#'IF &#35821;&#21477;'!A50"/><Relationship Id="rId14" Type="http://schemas.openxmlformats.org/officeDocument/2006/relationships/hyperlink" Target="https://support.office.com/zh-cn/article/ifs-function-36329a26-37b2-467c-972b-4a39bd951d45?ui=zh-CN&amp;rs=zh-001&amp;ad=CN"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zh-cn/article/create-a-pivottable-to-analyze-worksheet-data-a9a84538-bfe9-40a9-a8e9-f99134456576?ui=zh-CN&amp;rs=zh-001&amp;ad=CN" TargetMode="External"/><Relationship Id="rId13" Type="http://schemas.openxmlformats.org/officeDocument/2006/relationships/image" Target="../media/image10.png"/><Relationship Id="rId3" Type="http://schemas.openxmlformats.org/officeDocument/2006/relationships/image" Target="../media/image4.png"/><Relationship Id="rId7" Type="http://schemas.openxmlformats.org/officeDocument/2006/relationships/hyperlink" Target="https://support.office.com/zh-cn/article/iferror-function-c526fd07-caeb-47b8-8bb6-63f3e417f611?ui=zh-CN&amp;rs=zh-001&amp;ad=CN" TargetMode="External"/><Relationship Id="rId12" Type="http://schemas.openxmlformats.org/officeDocument/2006/relationships/hyperlink" Target="#'IF &#35821;&#21477;'!A1"/><Relationship Id="rId2" Type="http://schemas.openxmlformats.org/officeDocument/2006/relationships/hyperlink" Target="https://support.office.com/zh-cn/article/VLOOKUP-function-0BBC8083-26FE-4963-8AB8-93A18AD188A1" TargetMode="External"/><Relationship Id="rId1" Type="http://schemas.openxmlformats.org/officeDocument/2006/relationships/hyperlink" Target="#&#26465;&#20214;&#20989;&#25968;!A1"/><Relationship Id="rId6" Type="http://schemas.openxmlformats.org/officeDocument/2006/relationships/hyperlink" Target="https://support.office.com/zh-cn/article/excel-video-training-9bc05390-e94c-46af-a5b3-d7c22f6990bb?ui=zh-CN&amp;rs=zh-001&amp;ad=CN" TargetMode="External"/><Relationship Id="rId11" Type="http://schemas.openxmlformats.org/officeDocument/2006/relationships/hyperlink" Target="#VLOOKUP!A70"/><Relationship Id="rId5" Type="http://schemas.openxmlformats.org/officeDocument/2006/relationships/hyperlink" Target="https://support.microsoft.com/zh-cn/help/214142/how-to-use-the-index-and-match-worksheet-functions-with-multiple-crite" TargetMode="External"/><Relationship Id="rId10" Type="http://schemas.openxmlformats.org/officeDocument/2006/relationships/image" Target="../media/image20.svg"/><Relationship Id="rId4" Type="http://schemas.openxmlformats.org/officeDocument/2006/relationships/image" Target="../media/image5.svg"/><Relationship Id="rId9" Type="http://schemas.openxmlformats.org/officeDocument/2006/relationships/image" Target="../media/image19.png"/><Relationship Id="rId14" Type="http://schemas.openxmlformats.org/officeDocument/2006/relationships/image" Target="../media/image11.svg"/></Relationships>
</file>

<file path=xl/drawings/_rels/drawing10.xml.rels><?xml version="1.0" encoding="UTF-8" standalone="yes"?>
<Relationships xmlns="http://schemas.openxmlformats.org/package/2006/relationships"><Relationship Id="rId8" Type="http://schemas.openxmlformats.org/officeDocument/2006/relationships/hyperlink" Target="https://support.office.com/zh-cn/article/maxifs-%e5%87%bd%e6%95%b0-dfd611e6-da2c-488a-919b-9b6376b28883?ui=zh-CN&amp;rs=zh-CN&amp;ad=CN" TargetMode="External"/><Relationship Id="rId13" Type="http://schemas.openxmlformats.org/officeDocument/2006/relationships/hyperlink" Target="https://support.office.com/zh-cn/article/sumifs-%e5%87%bd%e6%95%b0-c9e748f5-7ea7-455d-9406-611cebce642b?ui=zh-CN&amp;rs=zh-CN&amp;ad=CN" TargetMode="External"/><Relationship Id="rId18" Type="http://schemas.openxmlformats.org/officeDocument/2006/relationships/image" Target="../media/image16.png"/><Relationship Id="rId3" Type="http://schemas.openxmlformats.org/officeDocument/2006/relationships/hyperlink" Target="#&#20989;&#25968;&#21521;&#23548;!A1"/><Relationship Id="rId21" Type="http://schemas.openxmlformats.org/officeDocument/2006/relationships/hyperlink" Target="#&#26465;&#20214;&#20989;&#25968;!A122"/><Relationship Id="rId7" Type="http://schemas.openxmlformats.org/officeDocument/2006/relationships/image" Target="../media/image5.svg"/><Relationship Id="rId12" Type="http://schemas.openxmlformats.org/officeDocument/2006/relationships/hyperlink" Target="https://support.office.com/zh-cn/article/countifs-%e5%87%bd%e6%95%b0-dda3dc6e-f74e-4aee-88bc-aa8c2a866842?ui=zh-CN&amp;rs=zh-CN&amp;ad=CN" TargetMode="External"/><Relationship Id="rId17" Type="http://schemas.openxmlformats.org/officeDocument/2006/relationships/hyperlink" Target="https://support.office.com/zh-cn/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support.office.com/zh-cn/article/%e5%88%9b%e5%bb%ba%e4%b8%8b%e6%8b%89%e5%88%97%e8%a1%a8-7693307a-59ef-400a-b769-c5402dce407b?ui=zh-CN&amp;rs=zh-CN&amp;ad=CN" TargetMode="External"/><Relationship Id="rId20" Type="http://schemas.openxmlformats.org/officeDocument/2006/relationships/hyperlink" Target="#&#26465;&#20214;&#20989;&#25968;!A85"/><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support.office.com/zh-cn/article/minifs-%e5%87%bd%e6%95%b0-6ca1ddaa-079b-4e74-80cc-72eef32e6599?ui=zh-CN&amp;rs=zh-CN&amp;ad=CN" TargetMode="External"/><Relationship Id="rId5" Type="http://schemas.openxmlformats.org/officeDocument/2006/relationships/hyperlink" Target="https://support.office.com/zh-cn/article/excel-video-training-9bc05390-e94c-46af-a5b3-d7c22f6990bb?ui=zh-CN&amp;rs=zh-001&amp;ad=CN" TargetMode="External"/><Relationship Id="rId15" Type="http://schemas.openxmlformats.org/officeDocument/2006/relationships/hyperlink" Target="https://support.office.com/zh-cn/article/countif-%e5%87%bd%e6%95%b0-e0de10c6-f885-4e71-abb4-1f464816df34?ui=zh-CN&amp;rs=zh-CN&amp;ad=CN" TargetMode="External"/><Relationship Id="rId10" Type="http://schemas.openxmlformats.org/officeDocument/2006/relationships/hyperlink" Target="https://support.office.com/zh-cn/article/averageif-%e5%87%bd%e6%95%b0-faec8e2e-0dec-4308-af69-f5576d8ac642?ui=zh-CN&amp;rs=zh-CN&amp;ad=CN" TargetMode="External"/><Relationship Id="rId19" Type="http://schemas.openxmlformats.org/officeDocument/2006/relationships/image" Target="../media/image17.svg"/><Relationship Id="rId4" Type="http://schemas.openxmlformats.org/officeDocument/2006/relationships/hyperlink" Target="#&#26465;&#20214;&#20989;&#25968;!A1"/><Relationship Id="rId9" Type="http://schemas.openxmlformats.org/officeDocument/2006/relationships/hyperlink" Target="https://support.office.com/zh-cn/article/averageifs-%e5%87%bd%e6%95%b0-48910c45-1fc0-4389-a028-f7c5c3001690?ui=zh-CN&amp;rs=zh-CN&amp;ad=CN" TargetMode="External"/><Relationship Id="rId14" Type="http://schemas.openxmlformats.org/officeDocument/2006/relationships/hyperlink" Target="https://support.office.com/zh-cn/article/sumif-%e5%87%bd%e6%95%b0-169b8c99-c05c-4483-a712-1697a653039b?ui=zh-CN&amp;rs=zh-CN&amp;ad=CN" TargetMode="External"/><Relationship Id="rId22" Type="http://schemas.openxmlformats.org/officeDocument/2006/relationships/hyperlink" Target="#&#26465;&#20214;&#20989;&#25968;!A138"/></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zh-cn/article/excel-%e5%87%bd%e6%95%b0%ef%bc%88%e6%8c%89%e5%ad%97%e6%af%8d%e9%a1%ba%e5%ba%8f%ef%bc%89-b3944572-255d-4efb-bb96-c6d90033e188?ui=zh-CN&amp;rs=zh-CN&amp;ad=CN" TargetMode="External"/><Relationship Id="rId13" Type="http://schemas.openxmlformats.org/officeDocument/2006/relationships/image" Target="../media/image9.svg"/><Relationship Id="rId3" Type="http://schemas.openxmlformats.org/officeDocument/2006/relationships/hyperlink" Target="https://support.office.com/zh-cn/article/excel-%e4%b8%ad%e7%9a%84%e5%85%ac%e5%bc%8f%e6%a6%82%e8%bf%b0-ecfdc708-9162-49e8-b993-c311f47ca173?ui=zh-CN&amp;rs=zh-CN&amp;ad=CN" TargetMode="External"/><Relationship Id="rId7" Type="http://schemas.openxmlformats.org/officeDocument/2006/relationships/hyperlink" Target="https://support.office.com/zh-cn/article/excel-video-training-9bc05390-e94c-46af-a5b3-d7c22f6990bb?ui=zh-CN&amp;rs=zh-001&amp;ad=CN"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zh-cn/article/excel-%e5%87%bd%e6%95%b0%ef%bc%88%e6%8c%89%e7%b1%bb%e5%88%ab%e5%88%97%e5%87%ba%ef%bc%89-5f91f4e9-7b42-46d2-9bd1-63f26a86c0eb?ui=zh-CN&amp;rs=zh-CN&amp;ad=CN"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20844;&#24335;&#38169;&#35823;!A1"/><Relationship Id="rId4" Type="http://schemas.openxmlformats.org/officeDocument/2006/relationships/image" Target="../media/image4.png"/><Relationship Id="rId9" Type="http://schemas.openxmlformats.org/officeDocument/2006/relationships/hyperlink" Target="#&#26465;&#20214;&#20989;&#25968;!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zh-cn/article/excel-video-training-9bc05390-e94c-46af-a5b3-d7c22f6990bb?ui=zh-CN&amp;rs=zh-001&amp;ad=CN" TargetMode="External"/><Relationship Id="rId3" Type="http://schemas.openxmlformats.org/officeDocument/2006/relationships/hyperlink" Target="#&#20989;&#25968;&#21521;&#23548;!A1"/><Relationship Id="rId7" Type="http://schemas.openxmlformats.org/officeDocument/2006/relationships/image" Target="../media/image8.png"/><Relationship Id="rId12" Type="http://schemas.openxmlformats.org/officeDocument/2006/relationships/hyperlink" Target="https://support.office.com/zh-cn/article/%e5%a6%82%e4%bd%95%e9%81%bf%e5%85%8d%e6%8d%9f%e5%9d%8f%e7%9a%84%e5%85%ac%e5%bc%8f-8309381d-33e8-42f6-b889-84ef6df1d586?ui=zh-CN&amp;rs=zh-CN&amp;ad=CN"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20102;&#35299;&#35814;&#32454;&#20449;&#24687;!A1"/><Relationship Id="rId9" Type="http://schemas.openxmlformats.org/officeDocument/2006/relationships/hyperlink" Target="https://support.office.com/zh-cn/article/%e6%a3%80%e6%b5%8b%e5%85%ac%e5%bc%8f%e4%b8%ad%e7%9a%84%e9%94%99%e8%af%af-3a8acca5-1d61-4702-80e0-99a36a2822c1?ui=zh-CN&amp;rs=zh-CN&amp;ad=CN" TargetMode="External"/><Relationship Id="rId14" Type="http://schemas.openxmlformats.org/officeDocument/2006/relationships/hyperlink" Target="https://support.office.com/zh-cn/article/%e5%af%b9%e5%b5%8c%e5%a5%97%e5%85%ac%e5%bc%8f%e8%bf%9b%e8%a1%8c%e5%88%86%e6%ad%a5%e6%b1%82%e5%80%bc-59a201ae-d1dc-4b15-8586-a70aa409b8a7?ui=zh-CN&amp;rs=zh-CN&amp;ad=CN"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s://go.microsoft.com/fwlink/?linkid=859431" TargetMode="External"/><Relationship Id="rId7" Type="http://schemas.openxmlformats.org/officeDocument/2006/relationships/image" Target="../media/image28.sv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7.png"/><Relationship Id="rId5" Type="http://schemas.openxmlformats.org/officeDocument/2006/relationships/image" Target="../media/image26.png"/><Relationship Id="rId4" Type="http://schemas.openxmlformats.org/officeDocument/2006/relationships/hyperlink" Target="https://support.office.com/zh-cn/article/what-s-new-in-excel-2016-for-windows-5fdb9208-ff33-45b6-9e08-1f5cdb3a6c73?ui=zh-CN&amp;rs=zh-001&amp;ad=CN"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2147889</xdr:rowOff>
    </xdr:from>
    <xdr:to>
      <xdr:col>0</xdr:col>
      <xdr:colOff>2041238</xdr:colOff>
      <xdr:row>3</xdr:row>
      <xdr:rowOff>3144838</xdr:rowOff>
    </xdr:to>
    <xdr:pic>
      <xdr:nvPicPr>
        <xdr:cNvPr id="2" name="图片 1" descr="Excel 徽标">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779963"/>
    <xdr:ext cx="1170432" cy="514350"/>
    <xdr:sp macro="" textlink="">
      <xdr:nvSpPr>
        <xdr:cNvPr id="3" name="“下一步”按钮" descr="导航到下一步的超链接按钮形状">
          <a:hlinkClick xmlns:r="http://schemas.openxmlformats.org/officeDocument/2006/relationships" r:id="rId2" tooltip="选择此处开始教程"/>
          <a:extLst>
            <a:ext uri="{FF2B5EF4-FFF2-40B4-BE49-F238E27FC236}">
              <a16:creationId xmlns:a16="http://schemas.microsoft.com/office/drawing/2014/main" id="{A16C62F8-5DAF-4A85-B660-EDB91A61244F}"/>
            </a:ext>
          </a:extLst>
        </xdr:cNvPr>
        <xdr:cNvSpPr/>
      </xdr:nvSpPr>
      <xdr:spPr>
        <a:xfrm>
          <a:off x="7258050"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cn" sz="1750" b="0" cap="none" spc="0" baseline="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rPr>
            <a:t>开始吧 &gt;</a:t>
          </a:r>
          <a:endParaRPr lang="en-US" sz="1750" b="0" cap="none" spc="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352425</xdr:rowOff>
    </xdr:from>
    <xdr:to>
      <xdr:col>1</xdr:col>
      <xdr:colOff>5002219</xdr:colOff>
      <xdr:row>20</xdr:row>
      <xdr:rowOff>142875</xdr:rowOff>
    </xdr:to>
    <xdr:grpSp>
      <xdr:nvGrpSpPr>
        <xdr:cNvPr id="2" name="组合 105">
          <a:extLst>
            <a:ext uri="{FF2B5EF4-FFF2-40B4-BE49-F238E27FC236}">
              <a16:creationId xmlns:a16="http://schemas.microsoft.com/office/drawing/2014/main" id="{1DE2F78A-22E4-4A0F-A38D-73690320D1A2}"/>
            </a:ext>
          </a:extLst>
        </xdr:cNvPr>
        <xdr:cNvGrpSpPr/>
      </xdr:nvGrpSpPr>
      <xdr:grpSpPr>
        <a:xfrm>
          <a:off x="364306" y="352425"/>
          <a:ext cx="5733288" cy="4591050"/>
          <a:chOff x="364306" y="352425"/>
          <a:chExt cx="5733288" cy="4591050"/>
        </a:xfrm>
      </xdr:grpSpPr>
      <xdr:grpSp>
        <xdr:nvGrpSpPr>
          <xdr:cNvPr id="107" name="数字求和说明">
            <a:extLst>
              <a:ext uri="{FF2B5EF4-FFF2-40B4-BE49-F238E27FC236}">
                <a16:creationId xmlns:a16="http://schemas.microsoft.com/office/drawing/2014/main" id="{6A0EC01A-7B98-4483-A182-0263FDEAEC51}"/>
              </a:ext>
            </a:extLst>
          </xdr:cNvPr>
          <xdr:cNvGrpSpPr/>
        </xdr:nvGrpSpPr>
        <xdr:grpSpPr>
          <a:xfrm>
            <a:off x="364306" y="352425"/>
            <a:ext cx="5733288" cy="4591050"/>
            <a:chOff x="0" y="0"/>
            <a:chExt cx="5695950" cy="4619625"/>
          </a:xfrm>
        </xdr:grpSpPr>
        <xdr:sp macro="" textlink="">
          <xdr:nvSpPr>
            <xdr:cNvPr id="121" name="背景" descr="背景">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22" name="步骤" descr="基础知识：使用 Excel 进行数学计算&#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基础知识：使用 Excel 进行数学计算</a:t>
              </a:r>
              <a:endParaRPr kumimoji="0" lang="en-US" sz="2200" b="1" i="1"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23" name="详细信息按钮" descr="向下滚动查看更多详细信息">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xnSp macro="">
          <xdr:nvCxnSpPr>
            <xdr:cNvPr id="124" name="底部线条" descr="装饰性线条">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xnSp macro="">
          <xdr:nvCxnSpPr>
            <xdr:cNvPr id="126" name="顶部线条" descr="装饰性线条">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文本_步骤" descr="你可以在 Excel 中进行加、减、乘、除运算，无需使用任何内置函数。只需使用运算符 +、-、*、/。所有公式均以等号 (=) 开头。">
            <a:extLst>
              <a:ext uri="{FF2B5EF4-FFF2-40B4-BE49-F238E27FC236}">
                <a16:creationId xmlns:a16="http://schemas.microsoft.com/office/drawing/2014/main" id="{8742DC30-0FF1-4950-98D1-1D4D2D7B33ED}"/>
              </a:ext>
            </a:extLst>
          </xdr:cNvPr>
          <xdr:cNvSpPr txBox="1"/>
        </xdr:nvSpPr>
        <xdr:spPr>
          <a:xfrm>
            <a:off x="483452" y="1083215"/>
            <a:ext cx="5319629" cy="717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你可以在 Excel 中进行加、减、乘、除运算，无需使用任何内置函数。只需使用部分基本运算符：</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。所有公式均以等号 (=) 开头。</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9" name="组_步骤">
            <a:extLst>
              <a:ext uri="{FF2B5EF4-FFF2-40B4-BE49-F238E27FC236}">
                <a16:creationId xmlns:a16="http://schemas.microsoft.com/office/drawing/2014/main" id="{344307E7-8939-4DC6-90D0-121C6023E34E}"/>
              </a:ext>
            </a:extLst>
          </xdr:cNvPr>
          <xdr:cNvGrpSpPr/>
        </xdr:nvGrpSpPr>
        <xdr:grpSpPr>
          <a:xfrm>
            <a:off x="575230" y="1882775"/>
            <a:ext cx="5254320" cy="598691"/>
            <a:chOff x="609600" y="7810500"/>
            <a:chExt cx="5186234" cy="596207"/>
          </a:xfrm>
        </xdr:grpSpPr>
        <xdr:sp macro="" textlink="">
          <xdr:nvSpPr>
            <xdr:cNvPr id="119" name="文本_步骤" descr="若要相加，选择单元格 F3，键入 =C3+C4，然后按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F3，键入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0" name="形状_步骤"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0" name="组_步骤">
            <a:extLst>
              <a:ext uri="{FF2B5EF4-FFF2-40B4-BE49-F238E27FC236}">
                <a16:creationId xmlns:a16="http://schemas.microsoft.com/office/drawing/2014/main" id="{8FFCD9EA-E2D0-4CB7-A158-043B5D0A28C7}"/>
              </a:ext>
            </a:extLst>
          </xdr:cNvPr>
          <xdr:cNvGrpSpPr/>
        </xdr:nvGrpSpPr>
        <xdr:grpSpPr>
          <a:xfrm>
            <a:off x="575230" y="2427962"/>
            <a:ext cx="5254320" cy="598691"/>
            <a:chOff x="609600" y="7810500"/>
            <a:chExt cx="5186234" cy="596207"/>
          </a:xfrm>
        </xdr:grpSpPr>
        <xdr:sp macro="" textlink="">
          <xdr:nvSpPr>
            <xdr:cNvPr id="117" name="文本_步骤" descr="若要相减，选择单元格 F4，键入 =C3-C4，然后按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相减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F4，键入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，然后按 </a:t>
              </a:r>
              <a:r>
                <a:rPr lang="zh-cn" sz="1100" b="1"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Enter</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8" name="形状_步骤"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1" name="组_步骤">
            <a:extLst>
              <a:ext uri="{FF2B5EF4-FFF2-40B4-BE49-F238E27FC236}">
                <a16:creationId xmlns:a16="http://schemas.microsoft.com/office/drawing/2014/main" id="{F7FEC8A2-A21F-4408-8113-8AAE6773DEF1}"/>
              </a:ext>
            </a:extLst>
          </xdr:cNvPr>
          <xdr:cNvGrpSpPr/>
        </xdr:nvGrpSpPr>
        <xdr:grpSpPr>
          <a:xfrm>
            <a:off x="565642" y="2992279"/>
            <a:ext cx="5254320" cy="598691"/>
            <a:chOff x="609600" y="7810500"/>
            <a:chExt cx="5186234" cy="596207"/>
          </a:xfrm>
        </xdr:grpSpPr>
        <xdr:sp macro="" textlink="">
          <xdr:nvSpPr>
            <xdr:cNvPr id="115" name="文本_步骤" descr="若要相乘，选择单元格 F5，键入 =C3*C4，然后按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相乘</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F5，键入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形状_步骤"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12" name="组_步骤">
            <a:extLst>
              <a:ext uri="{FF2B5EF4-FFF2-40B4-BE49-F238E27FC236}">
                <a16:creationId xmlns:a16="http://schemas.microsoft.com/office/drawing/2014/main" id="{408F37C5-7518-41B6-95C9-BDDF6E7642EF}"/>
              </a:ext>
            </a:extLst>
          </xdr:cNvPr>
          <xdr:cNvGrpSpPr/>
        </xdr:nvGrpSpPr>
        <xdr:grpSpPr>
          <a:xfrm>
            <a:off x="575230" y="3556595"/>
            <a:ext cx="5254320" cy="598691"/>
            <a:chOff x="609600" y="7810500"/>
            <a:chExt cx="5186234" cy="596207"/>
          </a:xfrm>
        </xdr:grpSpPr>
        <xdr:sp macro="" textlink="">
          <xdr:nvSpPr>
            <xdr:cNvPr id="113" name="文本_步骤" descr="若要相除，选择单元格 F6，键入 =C3/C4，然后按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相除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F6，键入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4</a:t>
              </a:r>
            </a:p>
          </xdr:txBody>
        </xdr:sp>
      </xdr:grpSp>
    </xdr:grpSp>
    <xdr:clientData/>
  </xdr:twoCellAnchor>
  <xdr:twoCellAnchor editAs="absolute">
    <xdr:from>
      <xdr:col>0</xdr:col>
      <xdr:colOff>354781</xdr:colOff>
      <xdr:row>21</xdr:row>
      <xdr:rowOff>38100</xdr:rowOff>
    </xdr:from>
    <xdr:to>
      <xdr:col>1</xdr:col>
      <xdr:colOff>4992694</xdr:colOff>
      <xdr:row>48</xdr:row>
      <xdr:rowOff>47417</xdr:rowOff>
    </xdr:to>
    <xdr:sp macro="" textlink="">
      <xdr:nvSpPr>
        <xdr:cNvPr id="128" name="矩形 127" descr="背景">
          <a:extLst>
            <a:ext uri="{FF2B5EF4-FFF2-40B4-BE49-F238E27FC236}">
              <a16:creationId xmlns:a16="http://schemas.microsoft.com/office/drawing/2014/main" id="{C6DA8A49-5A77-4AE2-BD39-5BC07FDB559E}"/>
            </a:ext>
          </a:extLst>
        </xdr:cNvPr>
        <xdr:cNvSpPr/>
      </xdr:nvSpPr>
      <xdr:spPr>
        <a:xfrm>
          <a:off x="35478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lientData/>
  </xdr:twoCellAnchor>
  <xdr:twoCellAnchor editAs="absolute">
    <xdr:from>
      <xdr:col>0</xdr:col>
      <xdr:colOff>554806</xdr:colOff>
      <xdr:row>23</xdr:row>
      <xdr:rowOff>158046</xdr:rowOff>
    </xdr:from>
    <xdr:to>
      <xdr:col>1</xdr:col>
      <xdr:colOff>4710476</xdr:colOff>
      <xdr:row>23</xdr:row>
      <xdr:rowOff>158046</xdr:rowOff>
    </xdr:to>
    <xdr:cxnSp macro="">
      <xdr:nvCxnSpPr>
        <xdr:cNvPr id="129" name="直接连接符 128" descr="装饰性线条">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45</xdr:row>
      <xdr:rowOff>25039</xdr:rowOff>
    </xdr:from>
    <xdr:to>
      <xdr:col>1</xdr:col>
      <xdr:colOff>4710476</xdr:colOff>
      <xdr:row>45</xdr:row>
      <xdr:rowOff>25039</xdr:rowOff>
    </xdr:to>
    <xdr:cxnSp macro="">
      <xdr:nvCxnSpPr>
        <xdr:cNvPr id="130" name="直接连接符 129" descr="装饰性线条">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21</xdr:row>
      <xdr:rowOff>97992</xdr:rowOff>
    </xdr:from>
    <xdr:to>
      <xdr:col>1</xdr:col>
      <xdr:colOff>4713649</xdr:colOff>
      <xdr:row>23</xdr:row>
      <xdr:rowOff>141852</xdr:rowOff>
    </xdr:to>
    <xdr:sp macro="" textlink="">
      <xdr:nvSpPr>
        <xdr:cNvPr id="131" name="步骤" descr="有关公式、单元格和区域的详细信息&#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有关公式、单元格和区域的详细信息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469081</xdr:colOff>
      <xdr:row>24</xdr:row>
      <xdr:rowOff>37239</xdr:rowOff>
    </xdr:from>
    <xdr:to>
      <xdr:col>1</xdr:col>
      <xdr:colOff>4667749</xdr:colOff>
      <xdr:row>25</xdr:row>
      <xdr:rowOff>179550</xdr:rowOff>
    </xdr:to>
    <xdr:sp macro="" textlink="">
      <xdr:nvSpPr>
        <xdr:cNvPr id="132" name="文本_步骤" descr="Excel 由组成行和列的单个单元格构成。行采用数字编号，列采用字母标明。共有 1,048,576 行和 16,384 列，可将公式和函数放入其中任何位置。">
          <a:extLst>
            <a:ext uri="{FF2B5EF4-FFF2-40B4-BE49-F238E27FC236}">
              <a16:creationId xmlns:a16="http://schemas.microsoft.com/office/drawing/2014/main" id="{C309FDDD-7DD5-4C0A-A9F5-43E33DAD131C}"/>
            </a:ext>
          </a:extLst>
        </xdr:cNvPr>
        <xdr:cNvSpPr txBox="1"/>
      </xdr:nvSpPr>
      <xdr:spPr>
        <a:xfrm>
          <a:off x="469081" y="565698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由组成行和列的单个单元格构成。行采用数字编号，列采用字母标明。共有一百多万行和 16,000 多列，可将公式放入其中任何位置。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26</xdr:row>
      <xdr:rowOff>99603</xdr:rowOff>
    </xdr:from>
    <xdr:to>
      <xdr:col>1</xdr:col>
      <xdr:colOff>4667749</xdr:colOff>
      <xdr:row>31</xdr:row>
      <xdr:rowOff>167995</xdr:rowOff>
    </xdr:to>
    <xdr:sp macro="" textlink="">
      <xdr:nvSpPr>
        <xdr:cNvPr id="133" name="文本_步骤" descr="公式可包含单元格引用、单元格引用范围、运算符和常数。以下均为公式的示例：&#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公式可包含单元格引用、单元格引用范围、运算符和常数。以下均为公式的示例：</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20</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31</xdr:row>
      <xdr:rowOff>119215</xdr:rowOff>
    </xdr:from>
    <xdr:to>
      <xdr:col>1</xdr:col>
      <xdr:colOff>4802956</xdr:colOff>
      <xdr:row>36</xdr:row>
      <xdr:rowOff>85725</xdr:rowOff>
    </xdr:to>
    <xdr:sp macro="" textlink="">
      <xdr:nvSpPr>
        <xdr:cNvPr id="134" name="文本_步骤" descr="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10;">
          <a:extLst>
            <a:ext uri="{FF2B5EF4-FFF2-40B4-BE49-F238E27FC236}">
              <a16:creationId xmlns:a16="http://schemas.microsoft.com/office/drawing/2014/main" id="{73D9B0E0-3581-491E-A150-07F5BAA0F86D}"/>
            </a:ext>
          </a:extLst>
        </xdr:cNvPr>
        <xdr:cNvSpPr txBox="1"/>
      </xdr:nvSpPr>
      <xdr:spPr>
        <a:xfrm>
          <a:off x="469081" y="7520140"/>
          <a:ext cx="5429250" cy="1014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你会注意到，上面的第三个示例中使用了</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函数。函数是预先构建的命令，可采用一个值或多个值，以特定方式进行计算并返回结果。例如，</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函数采用单元格引用或指定区域，并对它们求和。在此示例中，它使用单元格 A1 到 A10，并对它们求和。Excel 拥有 400 多个函数，你可以在“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”选项卡上进行浏览。</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37</xdr:row>
      <xdr:rowOff>14759</xdr:rowOff>
    </xdr:from>
    <xdr:to>
      <xdr:col>1</xdr:col>
      <xdr:colOff>4774381</xdr:colOff>
      <xdr:row>39</xdr:row>
      <xdr:rowOff>118970</xdr:rowOff>
    </xdr:to>
    <xdr:sp macro="" textlink="">
      <xdr:nvSpPr>
        <xdr:cNvPr id="135" name="文本_步骤" descr="带有函数的公式以等号开头，随后是函数名称，后接用括号括起来的参数（函数用于计算的值）。 &#10;&#10;">
          <a:extLst>
            <a:ext uri="{FF2B5EF4-FFF2-40B4-BE49-F238E27FC236}">
              <a16:creationId xmlns:a16="http://schemas.microsoft.com/office/drawing/2014/main" id="{066FFF9C-96C0-4C5A-AFA6-27C4951F9C44}"/>
            </a:ext>
          </a:extLst>
        </xdr:cNvPr>
        <xdr:cNvSpPr txBox="1"/>
      </xdr:nvSpPr>
      <xdr:spPr>
        <a:xfrm>
          <a:off x="469081" y="86729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带有函数的公式以等号开头，随后是函数名称，后接用括号括起来的参数（函数用于计算的值）。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39</xdr:row>
      <xdr:rowOff>179135</xdr:rowOff>
    </xdr:from>
    <xdr:to>
      <xdr:col>1</xdr:col>
      <xdr:colOff>4783906</xdr:colOff>
      <xdr:row>44</xdr:row>
      <xdr:rowOff>176362</xdr:rowOff>
    </xdr:to>
    <xdr:sp macro="" textlink="">
      <xdr:nvSpPr>
        <xdr:cNvPr id="136" name="文本_步骤" descr="按 Enter 即可确认公式。执行该操作后，公式将进行计算，结果将显示在单元格中。若要查看公式本身，可查看功能区下方的编辑栏，或按 F2 进入“编辑”模式，你将在单元格中看到公式。再次按 Enter 完成公式并计算结果。&#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即可确认公式。执行该操作后，公式将进行计算，结果将显示在单元格中。若要查看公式本身，可查看功能区下方的编辑栏，或按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F2</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进入“编辑”模式，你将在单元格中看到公式。再次按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完成公式并计算结果。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478606</xdr:colOff>
      <xdr:row>45</xdr:row>
      <xdr:rowOff>158262</xdr:rowOff>
    </xdr:from>
    <xdr:to>
      <xdr:col>1</xdr:col>
      <xdr:colOff>658401</xdr:colOff>
      <xdr:row>47</xdr:row>
      <xdr:rowOff>74611</xdr:rowOff>
    </xdr:to>
    <xdr:sp macro="" textlink="">
      <xdr:nvSpPr>
        <xdr:cNvPr id="137"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twoCellAnchor>
  <xdr:twoCellAnchor editAs="absolute">
    <xdr:from>
      <xdr:col>1</xdr:col>
      <xdr:colOff>3344092</xdr:colOff>
      <xdr:row>45</xdr:row>
      <xdr:rowOff>158262</xdr:rowOff>
    </xdr:from>
    <xdr:to>
      <xdr:col>1</xdr:col>
      <xdr:colOff>4619262</xdr:colOff>
      <xdr:row>47</xdr:row>
      <xdr:rowOff>74611</xdr:rowOff>
    </xdr:to>
    <xdr:sp macro="" textlink="">
      <xdr:nvSpPr>
        <xdr:cNvPr id="138" name="“下一步”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5</xdr:col>
      <xdr:colOff>878655</xdr:colOff>
      <xdr:row>6</xdr:row>
      <xdr:rowOff>57150</xdr:rowOff>
    </xdr:from>
    <xdr:to>
      <xdr:col>7</xdr:col>
      <xdr:colOff>659579</xdr:colOff>
      <xdr:row>12</xdr:row>
      <xdr:rowOff>190499</xdr:rowOff>
    </xdr:to>
    <xdr:grpSp>
      <xdr:nvGrpSpPr>
        <xdr:cNvPr id="139" name="延伸知识" descr="延伸知识&#10;&#10;">
          <a:extLst>
            <a:ext uri="{FF2B5EF4-FFF2-40B4-BE49-F238E27FC236}">
              <a16:creationId xmlns:a16="http://schemas.microsoft.com/office/drawing/2014/main" id="{34B095E6-B82C-4533-81A2-82946450BAFD}"/>
            </a:ext>
          </a:extLst>
        </xdr:cNvPr>
        <xdr:cNvGrpSpPr/>
      </xdr:nvGrpSpPr>
      <xdr:grpSpPr>
        <a:xfrm>
          <a:off x="10594155" y="1933575"/>
          <a:ext cx="2276474" cy="1381124"/>
          <a:chOff x="9048750" y="3743325"/>
          <a:chExt cx="2263181" cy="1381124"/>
        </a:xfrm>
      </xdr:grpSpPr>
      <xdr:sp macro="" textlink="">
        <xdr:nvSpPr>
          <xdr:cNvPr id="140" name="步骤" descr="延伸知识&#10;可以使用脱字符 (^) 对值进行幂运算，例如 =A1^A2。使用 Shift+6 输入该符号。&#10;">
            <a:extLst>
              <a:ext uri="{FF2B5EF4-FFF2-40B4-BE49-F238E27FC236}">
                <a16:creationId xmlns:a16="http://schemas.microsoft.com/office/drawing/2014/main" id="{675C53E6-D7B5-493F-A9ED-94DE7985453E}"/>
              </a:ext>
            </a:extLst>
          </xdr:cNvPr>
          <xdr:cNvSpPr txBox="1"/>
        </xdr:nvSpPr>
        <xdr:spPr>
          <a:xfrm>
            <a:off x="9648643" y="3895724"/>
            <a:ext cx="1663288"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可以使用脱字符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对值进行幂运算，例如 =C3^C4。使用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Shift+6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输入该符号。</a:t>
            </a:r>
          </a:p>
        </xdr:txBody>
      </xdr:sp>
      <xdr:pic>
        <xdr:nvPicPr>
          <xdr:cNvPr id="141" name="延伸知识功能区" descr="装饰功能区">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延伸知识箭头" descr="箭头">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352425</xdr:colOff>
      <xdr:row>48</xdr:row>
      <xdr:rowOff>200024</xdr:rowOff>
    </xdr:from>
    <xdr:to>
      <xdr:col>1</xdr:col>
      <xdr:colOff>4990338</xdr:colOff>
      <xdr:row>62</xdr:row>
      <xdr:rowOff>38099</xdr:rowOff>
    </xdr:to>
    <xdr:grpSp>
      <xdr:nvGrpSpPr>
        <xdr:cNvPr id="143" name="组 142">
          <a:extLst>
            <a:ext uri="{FF2B5EF4-FFF2-40B4-BE49-F238E27FC236}">
              <a16:creationId xmlns:a16="http://schemas.microsoft.com/office/drawing/2014/main" id="{79AC946A-932E-4F38-8B0A-9F23F83F1E52}"/>
            </a:ext>
          </a:extLst>
        </xdr:cNvPr>
        <xdr:cNvGrpSpPr/>
      </xdr:nvGrpSpPr>
      <xdr:grpSpPr>
        <a:xfrm>
          <a:off x="352425" y="11163299"/>
          <a:ext cx="5733288" cy="2771775"/>
          <a:chOff x="350069" y="11620499"/>
          <a:chExt cx="5733288" cy="2771775"/>
        </a:xfrm>
      </xdr:grpSpPr>
      <xdr:sp macro="" textlink="">
        <xdr:nvSpPr>
          <xdr:cNvPr id="144" name="矩形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45" name="步骤" descr="访问网页获取详细信息&#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46" name="直接连接符 145" descr="装饰性线条">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直接连接符 146" descr="装饰性线条">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51</xdr:row>
      <xdr:rowOff>170045</xdr:rowOff>
    </xdr:from>
    <xdr:to>
      <xdr:col>1</xdr:col>
      <xdr:colOff>2229873</xdr:colOff>
      <xdr:row>53</xdr:row>
      <xdr:rowOff>128718</xdr:rowOff>
    </xdr:to>
    <xdr:grpSp>
      <xdr:nvGrpSpPr>
        <xdr:cNvPr id="148" name="组 147">
          <a:extLst>
            <a:ext uri="{FF2B5EF4-FFF2-40B4-BE49-F238E27FC236}">
              <a16:creationId xmlns:a16="http://schemas.microsoft.com/office/drawing/2014/main" id="{CA7B2371-3B06-4B9B-9469-235F43CE38D0}"/>
            </a:ext>
          </a:extLst>
        </xdr:cNvPr>
        <xdr:cNvGrpSpPr/>
      </xdr:nvGrpSpPr>
      <xdr:grpSpPr>
        <a:xfrm>
          <a:off x="555326" y="11761970"/>
          <a:ext cx="2769922" cy="377773"/>
          <a:chOff x="552970" y="11990570"/>
          <a:chExt cx="2769922" cy="377773"/>
        </a:xfrm>
      </xdr:grpSpPr>
      <xdr:sp macro="" textlink="">
        <xdr:nvSpPr>
          <xdr:cNvPr id="149" name="步骤" descr="有关 AVERAGE 函数的全部内容，超链接到网页&#10;&#10;">
            <a:hlinkClick xmlns:r="http://schemas.openxmlformats.org/officeDocument/2006/relationships" r:id="rId6" tooltip="选择此处，从网页上了解使用 Excel 作为计算器的全部内容"/>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Excel 作为计算器</a:t>
            </a:r>
          </a:p>
        </xdr:txBody>
      </xdr:sp>
      <xdr:pic>
        <xdr:nvPicPr>
          <xdr:cNvPr id="150" name="图形 22" descr="选择此处，从网页上了解详细信息">
            <a:hlinkClick xmlns:r="http://schemas.openxmlformats.org/officeDocument/2006/relationships" r:id="rId6" tooltip="选择此处，从网页上了解详细信息"/>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53</xdr:row>
      <xdr:rowOff>136975</xdr:rowOff>
    </xdr:from>
    <xdr:to>
      <xdr:col>1</xdr:col>
      <xdr:colOff>2257485</xdr:colOff>
      <xdr:row>55</xdr:row>
      <xdr:rowOff>101235</xdr:rowOff>
    </xdr:to>
    <xdr:grpSp>
      <xdr:nvGrpSpPr>
        <xdr:cNvPr id="151" name="组 150" descr="Excel 中的公式概述">
          <a:extLst>
            <a:ext uri="{FF2B5EF4-FFF2-40B4-BE49-F238E27FC236}">
              <a16:creationId xmlns:a16="http://schemas.microsoft.com/office/drawing/2014/main" id="{DBBBF993-8DF8-4B72-8129-E3AA07A81756}"/>
            </a:ext>
          </a:extLst>
        </xdr:cNvPr>
        <xdr:cNvGrpSpPr/>
      </xdr:nvGrpSpPr>
      <xdr:grpSpPr>
        <a:xfrm>
          <a:off x="555326" y="12148000"/>
          <a:ext cx="2797534" cy="383360"/>
          <a:chOff x="552970" y="12376600"/>
          <a:chExt cx="2797534" cy="383360"/>
        </a:xfrm>
      </xdr:grpSpPr>
      <xdr:sp macro="" textlink="">
        <xdr:nvSpPr>
          <xdr:cNvPr id="152" name="步骤" descr="有关 COUNT 函数的全部内容，超链接到网页&#10;">
            <a:hlinkClick xmlns:r="http://schemas.openxmlformats.org/officeDocument/2006/relationships" r:id="rId9" tooltip="选择此处，从网页上了解有关 Excel 公式的全部内容"/>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中的公式概述</a:t>
            </a:r>
          </a:p>
        </xdr:txBody>
      </xdr:sp>
      <xdr:pic>
        <xdr:nvPicPr>
          <xdr:cNvPr id="153" name="图形 22" descr="选择此处，从网页上了解详细信息">
            <a:hlinkClick xmlns:r="http://schemas.openxmlformats.org/officeDocument/2006/relationships" r:id="rId9" tooltip="选择此处，从网页上了解详细信息"/>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55</xdr:row>
      <xdr:rowOff>117673</xdr:rowOff>
    </xdr:from>
    <xdr:to>
      <xdr:col>1</xdr:col>
      <xdr:colOff>2164530</xdr:colOff>
      <xdr:row>57</xdr:row>
      <xdr:rowOff>76346</xdr:rowOff>
    </xdr:to>
    <xdr:grpSp>
      <xdr:nvGrpSpPr>
        <xdr:cNvPr id="154" name="组 153">
          <a:extLst>
            <a:ext uri="{FF2B5EF4-FFF2-40B4-BE49-F238E27FC236}">
              <a16:creationId xmlns:a16="http://schemas.microsoft.com/office/drawing/2014/main" id="{97003A87-44BF-4E57-A760-19DF355C2169}"/>
            </a:ext>
          </a:extLst>
        </xdr:cNvPr>
        <xdr:cNvGrpSpPr/>
      </xdr:nvGrpSpPr>
      <xdr:grpSpPr>
        <a:xfrm>
          <a:off x="555326" y="12547798"/>
          <a:ext cx="2704579" cy="377773"/>
          <a:chOff x="552970" y="12776398"/>
          <a:chExt cx="2704579" cy="377773"/>
        </a:xfrm>
      </xdr:grpSpPr>
      <xdr:sp macro="" textlink="">
        <xdr:nvSpPr>
          <xdr:cNvPr id="155" name="步骤" descr="使用 Excel 作为计算器，超链接到网页&#10;">
            <a:hlinkClick xmlns:r="http://schemas.openxmlformats.org/officeDocument/2006/relationships" r:id="rId10" tooltip="选择此处，从网页上了解按类别划分的 Excel 函数"/>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函数（按类别</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p>
        </xdr:txBody>
      </xdr:sp>
      <xdr:pic>
        <xdr:nvPicPr>
          <xdr:cNvPr id="156" name="图形 155" descr="选择此处，从网页上了解详细信息">
            <a:hlinkClick xmlns:r="http://schemas.openxmlformats.org/officeDocument/2006/relationships" r:id="rId10" tooltip="选择此处，从网页上了解详细信息"/>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57</xdr:row>
      <xdr:rowOff>91432</xdr:rowOff>
    </xdr:from>
    <xdr:to>
      <xdr:col>1</xdr:col>
      <xdr:colOff>2421705</xdr:colOff>
      <xdr:row>59</xdr:row>
      <xdr:rowOff>55692</xdr:rowOff>
    </xdr:to>
    <xdr:grpSp>
      <xdr:nvGrpSpPr>
        <xdr:cNvPr id="157" name="组 156">
          <a:extLst>
            <a:ext uri="{FF2B5EF4-FFF2-40B4-BE49-F238E27FC236}">
              <a16:creationId xmlns:a16="http://schemas.microsoft.com/office/drawing/2014/main" id="{71257630-43F1-4787-B9D3-FAD6BF048228}"/>
            </a:ext>
          </a:extLst>
        </xdr:cNvPr>
        <xdr:cNvGrpSpPr/>
      </xdr:nvGrpSpPr>
      <xdr:grpSpPr>
        <a:xfrm>
          <a:off x="567509" y="12940657"/>
          <a:ext cx="2949571" cy="383360"/>
          <a:chOff x="565153" y="13169257"/>
          <a:chExt cx="2949571" cy="383360"/>
        </a:xfrm>
      </xdr:grpSpPr>
      <xdr:sp macro="" textlink="">
        <xdr:nvSpPr>
          <xdr:cNvPr id="158" name="步骤" descr="免费 Excel 在线培训，超链接到网页&#10;">
            <a:hlinkClick xmlns:r="http://schemas.openxmlformats.org/officeDocument/2006/relationships" r:id="rId11" tooltip="选择此处，从网页上了解有关 Excel 函数（按字母顺序排列）的全部内容"/>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p>
        </xdr:txBody>
      </xdr:sp>
      <xdr:pic>
        <xdr:nvPicPr>
          <xdr:cNvPr id="159" name="图形 22" descr="选择此处，从网页上了解详细信息">
            <a:hlinkClick xmlns:r="http://schemas.openxmlformats.org/officeDocument/2006/relationships" r:id="rId11" tooltip="选择此处，从网页上了解详细信息"/>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59</xdr:row>
      <xdr:rowOff>53332</xdr:rowOff>
    </xdr:from>
    <xdr:to>
      <xdr:col>1</xdr:col>
      <xdr:colOff>1901242</xdr:colOff>
      <xdr:row>61</xdr:row>
      <xdr:rowOff>17592</xdr:rowOff>
    </xdr:to>
    <xdr:grpSp>
      <xdr:nvGrpSpPr>
        <xdr:cNvPr id="160" name="组 159">
          <a:extLst>
            <a:ext uri="{FF2B5EF4-FFF2-40B4-BE49-F238E27FC236}">
              <a16:creationId xmlns:a16="http://schemas.microsoft.com/office/drawing/2014/main" id="{32835AA2-E6D6-41DC-B4E4-AF07FAC19150}"/>
            </a:ext>
          </a:extLst>
        </xdr:cNvPr>
        <xdr:cNvGrpSpPr/>
      </xdr:nvGrpSpPr>
      <xdr:grpSpPr>
        <a:xfrm>
          <a:off x="577034" y="13321657"/>
          <a:ext cx="2419583" cy="383360"/>
          <a:chOff x="574678" y="13550257"/>
          <a:chExt cx="2419583" cy="383360"/>
        </a:xfrm>
      </xdr:grpSpPr>
      <xdr:sp macro="" textlink="">
        <xdr:nvSpPr>
          <xdr:cNvPr id="161" name="步骤" descr="免费 Excel 在线培训，超链接到网页&#10;">
            <a:hlinkClick xmlns:r="http://schemas.openxmlformats.org/officeDocument/2006/relationships" r:id="rId12" tooltip="选择此处，从网页上了解免费 Excel 在线培训的详细信息"/>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162" name="图形 22" descr="选择此处，从网页上了解详细信息">
            <a:hlinkClick xmlns:r="http://schemas.openxmlformats.org/officeDocument/2006/relationships" r:id="rId12" tooltip="选择此处，从网页上了解详细信息"/>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5526855</xdr:colOff>
      <xdr:row>3</xdr:row>
      <xdr:rowOff>215169</xdr:rowOff>
    </xdr:from>
    <xdr:to>
      <xdr:col>4</xdr:col>
      <xdr:colOff>730287</xdr:colOff>
      <xdr:row>13</xdr:row>
      <xdr:rowOff>149638</xdr:rowOff>
    </xdr:to>
    <xdr:grpSp>
      <xdr:nvGrpSpPr>
        <xdr:cNvPr id="163" name="组 162">
          <a:extLst>
            <a:ext uri="{FF2B5EF4-FFF2-40B4-BE49-F238E27FC236}">
              <a16:creationId xmlns:a16="http://schemas.microsoft.com/office/drawing/2014/main" id="{C2C01485-52DA-46D7-91BA-2CB22C9C592D}"/>
            </a:ext>
          </a:extLst>
        </xdr:cNvPr>
        <xdr:cNvGrpSpPr/>
      </xdr:nvGrpSpPr>
      <xdr:grpSpPr>
        <a:xfrm>
          <a:off x="6622230" y="1424844"/>
          <a:ext cx="2270982" cy="2058544"/>
          <a:chOff x="6219825" y="1309306"/>
          <a:chExt cx="2270982" cy="2048914"/>
        </a:xfrm>
      </xdr:grpSpPr>
      <xdr:grpSp>
        <xdr:nvGrpSpPr>
          <xdr:cNvPr id="164" name="括号线">
            <a:extLst>
              <a:ext uri="{FF2B5EF4-FFF2-40B4-BE49-F238E27FC236}">
                <a16:creationId xmlns:a16="http://schemas.microsoft.com/office/drawing/2014/main" id="{C6C732D8-8C93-4CFB-BAD8-7EB1D0E191AF}"/>
              </a:ext>
            </a:extLst>
          </xdr:cNvPr>
          <xdr:cNvGrpSpPr/>
        </xdr:nvGrpSpPr>
        <xdr:grpSpPr>
          <a:xfrm rot="5886532">
            <a:off x="6672074" y="1029513"/>
            <a:ext cx="563095" cy="1122682"/>
            <a:chOff x="9852884" y="1014905"/>
            <a:chExt cx="273326" cy="955022"/>
          </a:xfrm>
        </xdr:grpSpPr>
        <xdr:sp macro="" textlink="">
          <xdr:nvSpPr>
            <xdr:cNvPr id="167" name="另一条括号线" descr="括号线">
              <a:extLst>
                <a:ext uri="{FF2B5EF4-FFF2-40B4-BE49-F238E27FC236}">
                  <a16:creationId xmlns:a16="http://schemas.microsoft.com/office/drawing/2014/main" id="{CE60D9BE-1267-484B-8547-1136C10EC14C}"/>
                </a:ext>
              </a:extLst>
            </xdr:cNvPr>
            <xdr:cNvSpPr/>
          </xdr:nvSpPr>
          <xdr:spPr>
            <a:xfrm>
              <a:off x="9852884" y="1014905"/>
              <a:ext cx="273326" cy="436656"/>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68" name="括号线" descr="括号线&#10;">
              <a:extLst>
                <a:ext uri="{FF2B5EF4-FFF2-40B4-BE49-F238E27FC236}">
                  <a16:creationId xmlns:a16="http://schemas.microsoft.com/office/drawing/2014/main" id="{5B02AF09-F448-47F0-A846-E12FFA754450}"/>
                </a:ext>
              </a:extLst>
            </xdr:cNvPr>
            <xdr:cNvSpPr/>
          </xdr:nvSpPr>
          <xdr:spPr>
            <a:xfrm>
              <a:off x="9964138" y="1427329"/>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65" name="星星" descr="星星">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19825" y="1993317"/>
            <a:ext cx="388117" cy="337815"/>
          </a:xfrm>
          <a:prstGeom prst="rect">
            <a:avLst/>
          </a:prstGeom>
        </xdr:spPr>
      </xdr:pic>
      <xdr:sp macro="" textlink="">
        <xdr:nvSpPr>
          <xdr:cNvPr id="166" name="说明" descr="看看这个&#10;更改此处的数字，并观看公式结果自动更改。&#10;">
            <a:extLst>
              <a:ext uri="{FF2B5EF4-FFF2-40B4-BE49-F238E27FC236}">
                <a16:creationId xmlns:a16="http://schemas.microsoft.com/office/drawing/2014/main" id="{50555AA4-008E-4DD4-89F8-AF46A3D1D5A7}"/>
              </a:ext>
            </a:extLst>
          </xdr:cNvPr>
          <xdr:cNvSpPr txBox="1"/>
        </xdr:nvSpPr>
        <xdr:spPr>
          <a:xfrm>
            <a:off x="6521695" y="1948519"/>
            <a:ext cx="1969112"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rtl="0"/>
            <a:r>
              <a:rPr lang="zh-cn" sz="1200" kern="1200">
                <a:solidFill>
                  <a:schemeClr val="dk1"/>
                </a:solidFill>
                <a:effectLst/>
                <a:latin typeface="Microsoft YaHei UI" panose="020B0503020204020204" pitchFamily="34" charset="-122"/>
                <a:ea typeface="Microsoft YaHei UI" panose="020B0503020204020204" pitchFamily="34" charset="-122"/>
                <a:cs typeface="+mn-cs"/>
              </a:rPr>
              <a:t>更改</a:t>
            </a:r>
            <a:r>
              <a:rPr lang="zh-cn" sz="1200" kern="1200" baseline="0">
                <a:solidFill>
                  <a:schemeClr val="dk1"/>
                </a:solidFill>
                <a:effectLst/>
                <a:latin typeface="Microsoft YaHei UI" panose="020B0503020204020204" pitchFamily="34" charset="-122"/>
                <a:ea typeface="Microsoft YaHei UI" panose="020B0503020204020204" pitchFamily="34" charset="-122"/>
                <a:cs typeface="+mn-cs"/>
              </a:rPr>
              <a:t>此处的数字，并观看公式结果自动更改。</a:t>
            </a:r>
            <a:endParaRPr lang="en-US" sz="900">
              <a:effectLst/>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1</xdr:col>
      <xdr:colOff>5199985</xdr:colOff>
      <xdr:row>24</xdr:row>
      <xdr:rowOff>148824</xdr:rowOff>
    </xdr:from>
    <xdr:to>
      <xdr:col>9</xdr:col>
      <xdr:colOff>345255</xdr:colOff>
      <xdr:row>51</xdr:row>
      <xdr:rowOff>152400</xdr:rowOff>
    </xdr:to>
    <xdr:grpSp>
      <xdr:nvGrpSpPr>
        <xdr:cNvPr id="169" name="组 168">
          <a:extLst>
            <a:ext uri="{FF2B5EF4-FFF2-40B4-BE49-F238E27FC236}">
              <a16:creationId xmlns:a16="http://schemas.microsoft.com/office/drawing/2014/main" id="{50CFB57E-402D-428F-8A7B-D2B6BD7D7634}"/>
            </a:ext>
          </a:extLst>
        </xdr:cNvPr>
        <xdr:cNvGrpSpPr/>
      </xdr:nvGrpSpPr>
      <xdr:grpSpPr>
        <a:xfrm>
          <a:off x="6295360" y="5768574"/>
          <a:ext cx="7842095" cy="5975751"/>
          <a:chOff x="8257510" y="6178149"/>
          <a:chExt cx="7842095" cy="5975751"/>
        </a:xfrm>
      </xdr:grpSpPr>
      <xdr:grpSp>
        <xdr:nvGrpSpPr>
          <xdr:cNvPr id="170" name="扩展知识" descr="扩展知识&#10;&#10;">
            <a:extLst>
              <a:ext uri="{FF2B5EF4-FFF2-40B4-BE49-F238E27FC236}">
                <a16:creationId xmlns:a16="http://schemas.microsoft.com/office/drawing/2014/main" id="{C43C872B-4996-44B6-9821-46907E2D5805}"/>
              </a:ext>
            </a:extLst>
          </xdr:cNvPr>
          <xdr:cNvGrpSpPr/>
        </xdr:nvGrpSpPr>
        <xdr:grpSpPr>
          <a:xfrm>
            <a:off x="12486606" y="6178149"/>
            <a:ext cx="3612999" cy="1927626"/>
            <a:chOff x="7053810" y="15226304"/>
            <a:chExt cx="3722724" cy="1662195"/>
          </a:xfrm>
        </xdr:grpSpPr>
        <xdr:sp macro="" textlink="">
          <xdr:nvSpPr>
            <xdr:cNvPr id="212" name="步骤" descr="扩展知识&#10;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10;&#10;例如：选择下方值为 12 的黄色单元格。你将看到我们对一个区域的单元格使用 SUM 函数。我们未直接在公式中键入“4”或“8”。 &#10;">
              <a:extLst>
                <a:ext uri="{FF2B5EF4-FFF2-40B4-BE49-F238E27FC236}">
                  <a16:creationId xmlns:a16="http://schemas.microsoft.com/office/drawing/2014/main" id="{D04FEABC-54EC-41D4-8544-354A180A4128}"/>
                </a:ext>
              </a:extLst>
            </xdr:cNvPr>
            <xdr:cNvSpPr txBox="1"/>
          </xdr:nvSpPr>
          <xdr:spPr>
            <a:xfrm>
              <a:off x="7377112" y="15262899"/>
              <a:ext cx="339942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例如：选择下方值为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12</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的黄色单元格。你将看到我们对一个区域的单元格使用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SUM</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函数。我们未直接在公式中键入“4”或“8”。 </a:t>
              </a:r>
            </a:p>
          </xdr:txBody>
        </xdr:sp>
        <xdr:pic>
          <xdr:nvPicPr>
            <xdr:cNvPr id="213" name="图形 147" descr="眼镜">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grpSp>
        <xdr:nvGrpSpPr>
          <xdr:cNvPr id="171" name="组 170">
            <a:extLst>
              <a:ext uri="{FF2B5EF4-FFF2-40B4-BE49-F238E27FC236}">
                <a16:creationId xmlns:a16="http://schemas.microsoft.com/office/drawing/2014/main" id="{7440BE31-1C3C-4F77-9B4A-DA987875D6C4}"/>
              </a:ext>
            </a:extLst>
          </xdr:cNvPr>
          <xdr:cNvGrpSpPr/>
        </xdr:nvGrpSpPr>
        <xdr:grpSpPr>
          <a:xfrm>
            <a:off x="8319789" y="6402998"/>
            <a:ext cx="4083384" cy="1294710"/>
            <a:chOff x="8319789" y="6402998"/>
            <a:chExt cx="4083384" cy="1294710"/>
          </a:xfrm>
        </xdr:grpSpPr>
        <xdr:sp macro="" textlink="">
          <xdr:nvSpPr>
            <xdr:cNvPr id="198" name="文本_公式" descr="=A1+B1 &#10;">
              <a:extLst>
                <a:ext uri="{FF2B5EF4-FFF2-40B4-BE49-F238E27FC236}">
                  <a16:creationId xmlns:a16="http://schemas.microsoft.com/office/drawing/2014/main" id="{09925615-92E5-4FED-ABD0-95B91AFE7A89}"/>
                </a:ext>
              </a:extLst>
            </xdr:cNvPr>
            <xdr:cNvSpPr txBox="1"/>
          </xdr:nvSpPr>
          <xdr:spPr>
            <a:xfrm>
              <a:off x="8319789" y="6663836"/>
              <a:ext cx="2025984"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=A</a:t>
              </a:r>
              <a:r>
                <a:rPr lang="en-US" alt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1</a:t>
              </a:r>
              <a:r>
                <a:rPr lang="en-US" altLang="zh-CN" sz="3600">
                  <a:solidFill>
                    <a:schemeClr val="dk1"/>
                  </a:solidFill>
                  <a:effectLst/>
                  <a:latin typeface="Courier New" panose="02070309020205020404" pitchFamily="49" charset="0"/>
                  <a:ea typeface="+mn-ea"/>
                  <a:cs typeface="Courier New" panose="02070309020205020404" pitchFamily="49" charset="0"/>
                </a:rPr>
                <a:t>+</a:t>
              </a: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B1 </a:t>
              </a:r>
              <a:endParaRPr lang="en-US" sz="36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99" name="公式下括号">
              <a:extLst>
                <a:ext uri="{FF2B5EF4-FFF2-40B4-BE49-F238E27FC236}">
                  <a16:creationId xmlns:a16="http://schemas.microsoft.com/office/drawing/2014/main" id="{06B625F0-B6FF-4FB6-82EE-37D7B29DEADC}"/>
                </a:ext>
              </a:extLst>
            </xdr:cNvPr>
            <xdr:cNvSpPr/>
          </xdr:nvSpPr>
          <xdr:spPr>
            <a:xfrm rot="5400000">
              <a:off x="9207945" y="6645021"/>
              <a:ext cx="121918" cy="1961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00" name="文本_公式下部标注" descr="运算符&#10;">
              <a:extLst>
                <a:ext uri="{FF2B5EF4-FFF2-40B4-BE49-F238E27FC236}">
                  <a16:creationId xmlns:a16="http://schemas.microsoft.com/office/drawing/2014/main" id="{FEB264EE-E7A0-4BFB-BBE2-0F36D6F84A74}"/>
                </a:ext>
              </a:extLst>
            </xdr:cNvPr>
            <xdr:cNvSpPr txBox="1">
              <a:spLocks noChangeArrowheads="1"/>
            </xdr:cNvSpPr>
          </xdr:nvSpPr>
          <xdr:spPr bwMode="auto">
            <a:xfrm>
              <a:off x="8921188" y="6402998"/>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运算符</a:t>
              </a:r>
            </a:p>
          </xdr:txBody>
        </xdr:sp>
        <xdr:sp macro="" textlink="">
          <xdr:nvSpPr>
            <xdr:cNvPr id="201" name="公式下括号">
              <a:extLst>
                <a:ext uri="{FF2B5EF4-FFF2-40B4-BE49-F238E27FC236}">
                  <a16:creationId xmlns:a16="http://schemas.microsoft.com/office/drawing/2014/main" id="{3CB31A99-96D7-4A5F-A2D8-6091936DBB59}"/>
                </a:ext>
              </a:extLst>
            </xdr:cNvPr>
            <xdr:cNvSpPr/>
          </xdr:nvSpPr>
          <xdr:spPr>
            <a:xfrm rot="16200000">
              <a:off x="8763056" y="6974379"/>
              <a:ext cx="121918" cy="48264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02" name="文本_公式下部标注" descr="单元格引用&#10;&#10;">
              <a:extLst>
                <a:ext uri="{FF2B5EF4-FFF2-40B4-BE49-F238E27FC236}">
                  <a16:creationId xmlns:a16="http://schemas.microsoft.com/office/drawing/2014/main" id="{E6F187D6-FF2E-4EFC-AFAA-20952A07D390}"/>
                </a:ext>
              </a:extLst>
            </xdr:cNvPr>
            <xdr:cNvSpPr txBox="1">
              <a:spLocks noChangeArrowheads="1"/>
            </xdr:cNvSpPr>
          </xdr:nvSpPr>
          <xdr:spPr bwMode="auto">
            <a:xfrm>
              <a:off x="8324427" y="7293605"/>
              <a:ext cx="905298"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单元格引用</a:t>
              </a:r>
            </a:p>
          </xdr:txBody>
        </xdr:sp>
        <xdr:sp macro="" textlink="">
          <xdr:nvSpPr>
            <xdr:cNvPr id="203" name="公式下括号">
              <a:extLst>
                <a:ext uri="{FF2B5EF4-FFF2-40B4-BE49-F238E27FC236}">
                  <a16:creationId xmlns:a16="http://schemas.microsoft.com/office/drawing/2014/main" id="{872F7C58-72FF-46FC-8EC4-AEF5C7512D62}"/>
                </a:ext>
              </a:extLst>
            </xdr:cNvPr>
            <xdr:cNvSpPr/>
          </xdr:nvSpPr>
          <xdr:spPr>
            <a:xfrm rot="16200000">
              <a:off x="9609590" y="6973189"/>
              <a:ext cx="121918" cy="48502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04" name="文本_公式下部标注" descr="单元格引用&#10;&#10;">
              <a:extLst>
                <a:ext uri="{FF2B5EF4-FFF2-40B4-BE49-F238E27FC236}">
                  <a16:creationId xmlns:a16="http://schemas.microsoft.com/office/drawing/2014/main" id="{C8D9CEE7-9568-485B-8FE0-FB660EF1AC52}"/>
                </a:ext>
              </a:extLst>
            </xdr:cNvPr>
            <xdr:cNvSpPr txBox="1">
              <a:spLocks noChangeArrowheads="1"/>
            </xdr:cNvSpPr>
          </xdr:nvSpPr>
          <xdr:spPr bwMode="auto">
            <a:xfrm>
              <a:off x="9274546" y="7293605"/>
              <a:ext cx="983879"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单元格引用</a:t>
              </a:r>
            </a:p>
          </xdr:txBody>
        </xdr:sp>
        <xdr:sp macro="" textlink="">
          <xdr:nvSpPr>
            <xdr:cNvPr id="205" name="文本_公式" descr="=10*20 &#10;">
              <a:extLst>
                <a:ext uri="{FF2B5EF4-FFF2-40B4-BE49-F238E27FC236}">
                  <a16:creationId xmlns:a16="http://schemas.microsoft.com/office/drawing/2014/main" id="{B5C03097-B1E4-4C44-A3A7-E2260FC430EB}"/>
                </a:ext>
              </a:extLst>
            </xdr:cNvPr>
            <xdr:cNvSpPr txBox="1"/>
          </xdr:nvSpPr>
          <xdr:spPr>
            <a:xfrm>
              <a:off x="10369130" y="6663836"/>
              <a:ext cx="2034043"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=10</a:t>
              </a:r>
              <a:r>
                <a:rPr lang="en-US" alt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a:t>
              </a: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20 </a:t>
              </a:r>
              <a:endParaRPr lang="en-US" sz="36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06" name="公式下括号">
              <a:extLst>
                <a:ext uri="{FF2B5EF4-FFF2-40B4-BE49-F238E27FC236}">
                  <a16:creationId xmlns:a16="http://schemas.microsoft.com/office/drawing/2014/main" id="{81CD8C84-59B0-42BA-84FD-161333AB7096}"/>
                </a:ext>
              </a:extLst>
            </xdr:cNvPr>
            <xdr:cNvSpPr/>
          </xdr:nvSpPr>
          <xdr:spPr>
            <a:xfrm rot="5400000">
              <a:off x="11262049" y="6643189"/>
              <a:ext cx="121918" cy="19985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07" name="文本_公式下部标注" descr="运算符&#10;">
              <a:extLst>
                <a:ext uri="{FF2B5EF4-FFF2-40B4-BE49-F238E27FC236}">
                  <a16:creationId xmlns:a16="http://schemas.microsoft.com/office/drawing/2014/main" id="{1B4C2F37-2973-4A52-8665-E35B15BB3D6B}"/>
                </a:ext>
              </a:extLst>
            </xdr:cNvPr>
            <xdr:cNvSpPr txBox="1">
              <a:spLocks noChangeArrowheads="1"/>
            </xdr:cNvSpPr>
          </xdr:nvSpPr>
          <xdr:spPr bwMode="auto">
            <a:xfrm>
              <a:off x="10971994" y="6402998"/>
              <a:ext cx="72473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运算符</a:t>
              </a:r>
            </a:p>
          </xdr:txBody>
        </xdr:sp>
        <xdr:sp macro="" textlink="">
          <xdr:nvSpPr>
            <xdr:cNvPr id="208" name="公式下括号">
              <a:extLst>
                <a:ext uri="{FF2B5EF4-FFF2-40B4-BE49-F238E27FC236}">
                  <a16:creationId xmlns:a16="http://schemas.microsoft.com/office/drawing/2014/main" id="{1272A68F-37F0-4A7B-B89A-A0390EAF5C54}"/>
                </a:ext>
              </a:extLst>
            </xdr:cNvPr>
            <xdr:cNvSpPr/>
          </xdr:nvSpPr>
          <xdr:spPr>
            <a:xfrm rot="16200000">
              <a:off x="10843170" y="6973646"/>
              <a:ext cx="121918" cy="48411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09" name="文本_公式下部标注" descr="常数&#10;">
              <a:extLst>
                <a:ext uri="{FF2B5EF4-FFF2-40B4-BE49-F238E27FC236}">
                  <a16:creationId xmlns:a16="http://schemas.microsoft.com/office/drawing/2014/main" id="{C3D3BDE9-0CDA-4720-99C6-226649AE3EAE}"/>
                </a:ext>
              </a:extLst>
            </xdr:cNvPr>
            <xdr:cNvSpPr txBox="1">
              <a:spLocks noChangeArrowheads="1"/>
            </xdr:cNvSpPr>
          </xdr:nvSpPr>
          <xdr:spPr bwMode="auto">
            <a:xfrm>
              <a:off x="10527633" y="7293605"/>
              <a:ext cx="746072"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常数</a:t>
              </a:r>
            </a:p>
          </xdr:txBody>
        </xdr:sp>
        <xdr:sp macro="" textlink="">
          <xdr:nvSpPr>
            <xdr:cNvPr id="210" name="公式下括号">
              <a:extLst>
                <a:ext uri="{FF2B5EF4-FFF2-40B4-BE49-F238E27FC236}">
                  <a16:creationId xmlns:a16="http://schemas.microsoft.com/office/drawing/2014/main" id="{A2388037-0C8B-4449-A76D-B27DF4538FD1}"/>
                </a:ext>
              </a:extLst>
            </xdr:cNvPr>
            <xdr:cNvSpPr/>
          </xdr:nvSpPr>
          <xdr:spPr>
            <a:xfrm rot="16200000">
              <a:off x="11694101" y="6973189"/>
              <a:ext cx="121918" cy="4850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1" name="文本_公式下部标注" descr="常数&#10;">
              <a:extLst>
                <a:ext uri="{FF2B5EF4-FFF2-40B4-BE49-F238E27FC236}">
                  <a16:creationId xmlns:a16="http://schemas.microsoft.com/office/drawing/2014/main" id="{9CAE6A7E-8E69-4ADE-A18A-4213125DEC6D}"/>
                </a:ext>
              </a:extLst>
            </xdr:cNvPr>
            <xdr:cNvSpPr txBox="1">
              <a:spLocks noChangeArrowheads="1"/>
            </xdr:cNvSpPr>
          </xdr:nvSpPr>
          <xdr:spPr bwMode="auto">
            <a:xfrm>
              <a:off x="11378107" y="7293605"/>
              <a:ext cx="746986"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常数</a:t>
              </a:r>
            </a:p>
          </xdr:txBody>
        </xdr:sp>
      </xdr:grpSp>
      <xdr:grpSp>
        <xdr:nvGrpSpPr>
          <xdr:cNvPr id="172" name="组 171">
            <a:extLst>
              <a:ext uri="{FF2B5EF4-FFF2-40B4-BE49-F238E27FC236}">
                <a16:creationId xmlns:a16="http://schemas.microsoft.com/office/drawing/2014/main" id="{27FB8F52-9F55-421A-90F9-FEBBC5A87DF7}"/>
              </a:ext>
            </a:extLst>
          </xdr:cNvPr>
          <xdr:cNvGrpSpPr/>
        </xdr:nvGrpSpPr>
        <xdr:grpSpPr>
          <a:xfrm>
            <a:off x="8257510" y="8126290"/>
            <a:ext cx="3790306" cy="1665410"/>
            <a:chOff x="8257510" y="8126290"/>
            <a:chExt cx="3790306" cy="1665410"/>
          </a:xfrm>
        </xdr:grpSpPr>
        <xdr:sp macro="" textlink="">
          <xdr:nvSpPr>
            <xdr:cNvPr id="191" name="文本_公式" descr="=SUM(A1:A10)&#10;">
              <a:extLst>
                <a:ext uri="{FF2B5EF4-FFF2-40B4-BE49-F238E27FC236}">
                  <a16:creationId xmlns:a16="http://schemas.microsoft.com/office/drawing/2014/main" id="{420560C2-240E-4A77-8A25-1E46F3BE03DF}"/>
                </a:ext>
              </a:extLst>
            </xdr:cNvPr>
            <xdr:cNvSpPr txBox="1"/>
          </xdr:nvSpPr>
          <xdr:spPr>
            <a:xfrm>
              <a:off x="8257510" y="8447209"/>
              <a:ext cx="379030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=SUM(A1:A10)</a:t>
              </a:r>
              <a:endParaRPr lang="en-US" sz="36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92" name="公式下括号">
              <a:extLst>
                <a:ext uri="{FF2B5EF4-FFF2-40B4-BE49-F238E27FC236}">
                  <a16:creationId xmlns:a16="http://schemas.microsoft.com/office/drawing/2014/main" id="{5E996462-DB7E-43E7-A8CC-1B53668A75E9}"/>
                </a:ext>
              </a:extLst>
            </xdr:cNvPr>
            <xdr:cNvSpPr/>
          </xdr:nvSpPr>
          <xdr:spPr>
            <a:xfrm rot="5400000">
              <a:off x="8903299" y="807449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93" name="文本_公式下部标注" descr="函数&#10;">
              <a:extLst>
                <a:ext uri="{FF2B5EF4-FFF2-40B4-BE49-F238E27FC236}">
                  <a16:creationId xmlns:a16="http://schemas.microsoft.com/office/drawing/2014/main" id="{6AD191CA-0328-4A6B-AFF1-5AAC7BCD948A}"/>
                </a:ext>
              </a:extLst>
            </xdr:cNvPr>
            <xdr:cNvSpPr txBox="1">
              <a:spLocks noChangeArrowheads="1"/>
            </xdr:cNvSpPr>
          </xdr:nvSpPr>
          <xdr:spPr bwMode="auto">
            <a:xfrm>
              <a:off x="8617121" y="81262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函数</a:t>
              </a:r>
            </a:p>
          </xdr:txBody>
        </xdr:sp>
        <xdr:sp macro="" textlink="">
          <xdr:nvSpPr>
            <xdr:cNvPr id="194" name="公式下括号">
              <a:extLst>
                <a:ext uri="{FF2B5EF4-FFF2-40B4-BE49-F238E27FC236}">
                  <a16:creationId xmlns:a16="http://schemas.microsoft.com/office/drawing/2014/main" id="{73DF5926-C31E-49B6-8468-20634B5B1EC6}"/>
                </a:ext>
              </a:extLst>
            </xdr:cNvPr>
            <xdr:cNvSpPr/>
          </xdr:nvSpPr>
          <xdr:spPr>
            <a:xfrm rot="16200000">
              <a:off x="10382094" y="82090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95" name="公式下括号">
              <a:extLst>
                <a:ext uri="{FF2B5EF4-FFF2-40B4-BE49-F238E27FC236}">
                  <a16:creationId xmlns:a16="http://schemas.microsoft.com/office/drawing/2014/main" id="{92FCDA5F-895F-4078-BCF6-B3112EDCA2A2}"/>
                </a:ext>
              </a:extLst>
            </xdr:cNvPr>
            <xdr:cNvSpPr/>
          </xdr:nvSpPr>
          <xdr:spPr>
            <a:xfrm rot="5400000">
              <a:off x="10382094" y="76565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96" name="文本_公式下部标注" descr="参数&#10;">
              <a:extLst>
                <a:ext uri="{FF2B5EF4-FFF2-40B4-BE49-F238E27FC236}">
                  <a16:creationId xmlns:a16="http://schemas.microsoft.com/office/drawing/2014/main" id="{6DD0728E-6D1B-40C6-A4C4-490130F25B82}"/>
                </a:ext>
              </a:extLst>
            </xdr:cNvPr>
            <xdr:cNvSpPr txBox="1">
              <a:spLocks noChangeArrowheads="1"/>
            </xdr:cNvSpPr>
          </xdr:nvSpPr>
          <xdr:spPr bwMode="auto">
            <a:xfrm>
              <a:off x="9902866" y="81262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参数</a:t>
              </a:r>
            </a:p>
          </xdr:txBody>
        </xdr:sp>
        <xdr:sp macro="" textlink="">
          <xdr:nvSpPr>
            <xdr:cNvPr id="197" name="文本框 2" descr="单元格区域包含起始单元格、冒号和结束单元格。为公式选择单元格区域时，Excel 将自动添加冒号。&#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3245669"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单元格区域包含起始单元格、冒号和</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结束单元格。为公式选择单元格区域时，Excel 将自动添加冒号。</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grpSp>
      <xdr:grpSp>
        <xdr:nvGrpSpPr>
          <xdr:cNvPr id="173" name="组 172">
            <a:extLst>
              <a:ext uri="{FF2B5EF4-FFF2-40B4-BE49-F238E27FC236}">
                <a16:creationId xmlns:a16="http://schemas.microsoft.com/office/drawing/2014/main" id="{00BBB77A-8EDC-44E9-8BC6-1F471670BF40}"/>
              </a:ext>
            </a:extLst>
          </xdr:cNvPr>
          <xdr:cNvGrpSpPr/>
        </xdr:nvGrpSpPr>
        <xdr:grpSpPr>
          <a:xfrm>
            <a:off x="8257510" y="10012240"/>
            <a:ext cx="7001539" cy="2141660"/>
            <a:chOff x="8257510" y="10012240"/>
            <a:chExt cx="7001539" cy="2141660"/>
          </a:xfrm>
        </xdr:grpSpPr>
        <xdr:sp macro="" textlink="">
          <xdr:nvSpPr>
            <xdr:cNvPr id="174" name="文本_公式" descr="=SUM(A1:A10,C1:C10)&#10;">
              <a:extLst>
                <a:ext uri="{FF2B5EF4-FFF2-40B4-BE49-F238E27FC236}">
                  <a16:creationId xmlns:a16="http://schemas.microsoft.com/office/drawing/2014/main" id="{4939E1EA-5EC9-4CD9-BA9B-F78E39B2FE8C}"/>
                </a:ext>
              </a:extLst>
            </xdr:cNvPr>
            <xdr:cNvSpPr txBox="1"/>
          </xdr:nvSpPr>
          <xdr:spPr>
            <a:xfrm>
              <a:off x="8257510" y="10628434"/>
              <a:ext cx="546084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36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=SUM(A1:A10,C1:C10)</a:t>
              </a:r>
              <a:endParaRPr lang="en-US" sz="36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75" name="公式下括号">
              <a:extLst>
                <a:ext uri="{FF2B5EF4-FFF2-40B4-BE49-F238E27FC236}">
                  <a16:creationId xmlns:a16="http://schemas.microsoft.com/office/drawing/2014/main" id="{2C0CD1F5-7F26-459E-A30A-75B89D0DDE18}"/>
                </a:ext>
              </a:extLst>
            </xdr:cNvPr>
            <xdr:cNvSpPr/>
          </xdr:nvSpPr>
          <xdr:spPr>
            <a:xfrm rot="5400000">
              <a:off x="8903299" y="1026524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76" name="文本_公式下部标注" descr="函数&#10;">
              <a:extLst>
                <a:ext uri="{FF2B5EF4-FFF2-40B4-BE49-F238E27FC236}">
                  <a16:creationId xmlns:a16="http://schemas.microsoft.com/office/drawing/2014/main" id="{19E9801B-D128-4AB7-8DE6-607106C308D9}"/>
                </a:ext>
              </a:extLst>
            </xdr:cNvPr>
            <xdr:cNvSpPr txBox="1">
              <a:spLocks noChangeArrowheads="1"/>
            </xdr:cNvSpPr>
          </xdr:nvSpPr>
          <xdr:spPr bwMode="auto">
            <a:xfrm>
              <a:off x="8617121" y="1031704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函数</a:t>
              </a:r>
            </a:p>
          </xdr:txBody>
        </xdr:sp>
        <xdr:sp macro="" textlink="">
          <xdr:nvSpPr>
            <xdr:cNvPr id="177" name="公式下括号">
              <a:extLst>
                <a:ext uri="{FF2B5EF4-FFF2-40B4-BE49-F238E27FC236}">
                  <a16:creationId xmlns:a16="http://schemas.microsoft.com/office/drawing/2014/main" id="{E87F0EBE-F231-4EF8-9B82-25664E51185C}"/>
                </a:ext>
              </a:extLst>
            </xdr:cNvPr>
            <xdr:cNvSpPr/>
          </xdr:nvSpPr>
          <xdr:spPr>
            <a:xfrm rot="5400000">
              <a:off x="10382094" y="98473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78" name="文本_公式下部标注" descr="参数&#10;">
              <a:extLst>
                <a:ext uri="{FF2B5EF4-FFF2-40B4-BE49-F238E27FC236}">
                  <a16:creationId xmlns:a16="http://schemas.microsoft.com/office/drawing/2014/main" id="{C70B59B4-A903-4D48-B1D5-54CDD75E516A}"/>
                </a:ext>
              </a:extLst>
            </xdr:cNvPr>
            <xdr:cNvSpPr txBox="1">
              <a:spLocks noChangeArrowheads="1"/>
            </xdr:cNvSpPr>
          </xdr:nvSpPr>
          <xdr:spPr bwMode="auto">
            <a:xfrm>
              <a:off x="9902866" y="1031704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参数</a:t>
              </a:r>
            </a:p>
          </xdr:txBody>
        </xdr:sp>
        <xdr:sp macro="" textlink="">
          <xdr:nvSpPr>
            <xdr:cNvPr id="179" name="公式下括号">
              <a:extLst>
                <a:ext uri="{FF2B5EF4-FFF2-40B4-BE49-F238E27FC236}">
                  <a16:creationId xmlns:a16="http://schemas.microsoft.com/office/drawing/2014/main" id="{82278071-0D09-4DA0-8A4B-E79650C6B154}"/>
                </a:ext>
              </a:extLst>
            </xdr:cNvPr>
            <xdr:cNvSpPr/>
          </xdr:nvSpPr>
          <xdr:spPr>
            <a:xfrm rot="5400000">
              <a:off x="12306144" y="98473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80" name="文本_公式下部标注" descr="参数&#10;">
              <a:extLst>
                <a:ext uri="{FF2B5EF4-FFF2-40B4-BE49-F238E27FC236}">
                  <a16:creationId xmlns:a16="http://schemas.microsoft.com/office/drawing/2014/main" id="{681E05A6-833F-4DB8-8D40-D39B82D06561}"/>
                </a:ext>
              </a:extLst>
            </xdr:cNvPr>
            <xdr:cNvSpPr txBox="1">
              <a:spLocks noChangeArrowheads="1"/>
            </xdr:cNvSpPr>
          </xdr:nvSpPr>
          <xdr:spPr bwMode="auto">
            <a:xfrm>
              <a:off x="11826916" y="1031704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参数</a:t>
              </a:r>
            </a:p>
          </xdr:txBody>
        </xdr:sp>
        <xdr:sp macro="" textlink="">
          <xdr:nvSpPr>
            <xdr:cNvPr id="181" name="公式下括号">
              <a:extLst>
                <a:ext uri="{FF2B5EF4-FFF2-40B4-BE49-F238E27FC236}">
                  <a16:creationId xmlns:a16="http://schemas.microsoft.com/office/drawing/2014/main" id="{CBAEE9F7-8844-4CF2-908C-4D4F53F93F05}"/>
                </a:ext>
              </a:extLst>
            </xdr:cNvPr>
            <xdr:cNvSpPr/>
          </xdr:nvSpPr>
          <xdr:spPr>
            <a:xfrm rot="16200000">
              <a:off x="10382094"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82" name="文本框 2" descr="单元格区域">
              <a:extLst>
                <a:ext uri="{FF2B5EF4-FFF2-40B4-BE49-F238E27FC236}">
                  <a16:creationId xmlns:a16="http://schemas.microsoft.com/office/drawing/2014/main" id="{F2C22149-D656-439A-9A85-5A52AF811D24}"/>
                </a:ext>
              </a:extLst>
            </xdr:cNvPr>
            <xdr:cNvSpPr txBox="1">
              <a:spLocks noChangeArrowheads="1"/>
            </xdr:cNvSpPr>
          </xdr:nvSpPr>
          <xdr:spPr bwMode="auto">
            <a:xfrm>
              <a:off x="986073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单元格区域</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sp macro="" textlink="">
          <xdr:nvSpPr>
            <xdr:cNvPr id="183" name="公式下括号">
              <a:extLst>
                <a:ext uri="{FF2B5EF4-FFF2-40B4-BE49-F238E27FC236}">
                  <a16:creationId xmlns:a16="http://schemas.microsoft.com/office/drawing/2014/main" id="{BDF364CA-3E92-4EF9-B69D-8D2A8D6D02DC}"/>
                </a:ext>
              </a:extLst>
            </xdr:cNvPr>
            <xdr:cNvSpPr/>
          </xdr:nvSpPr>
          <xdr:spPr>
            <a:xfrm rot="16200000">
              <a:off x="12315669"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84" name="文本框 2" descr="另一单元格区域">
              <a:extLst>
                <a:ext uri="{FF2B5EF4-FFF2-40B4-BE49-F238E27FC236}">
                  <a16:creationId xmlns:a16="http://schemas.microsoft.com/office/drawing/2014/main" id="{C0CFC16F-09CC-4EBF-8B9B-7929710E5AE9}"/>
                </a:ext>
              </a:extLst>
            </xdr:cNvPr>
            <xdr:cNvSpPr txBox="1">
              <a:spLocks noChangeArrowheads="1"/>
            </xdr:cNvSpPr>
          </xdr:nvSpPr>
          <xdr:spPr bwMode="auto">
            <a:xfrm>
              <a:off x="11516309" y="11303630"/>
              <a:ext cx="1773422"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另一单元格区域</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sp macro="" textlink="">
          <xdr:nvSpPr>
            <xdr:cNvPr id="185" name="文本_公式下部标注" descr="对下列区域求和：&#10;">
              <a:extLst>
                <a:ext uri="{FF2B5EF4-FFF2-40B4-BE49-F238E27FC236}">
                  <a16:creationId xmlns:a16="http://schemas.microsoft.com/office/drawing/2014/main" id="{130455C0-2F1E-4116-928D-8EF2832DD8B1}"/>
                </a:ext>
              </a:extLst>
            </xdr:cNvPr>
            <xdr:cNvSpPr txBox="1">
              <a:spLocks noChangeArrowheads="1"/>
            </xdr:cNvSpPr>
          </xdr:nvSpPr>
          <xdr:spPr bwMode="auto">
            <a:xfrm>
              <a:off x="11341142" y="10012240"/>
              <a:ext cx="1622384"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逗号分隔多个参数</a:t>
              </a:r>
            </a:p>
          </xdr:txBody>
        </xdr:sp>
        <xdr:sp macro="" textlink="">
          <xdr:nvSpPr>
            <xdr:cNvPr id="186" name="延伸知识箭头" descr="箭头">
              <a:extLst>
                <a:ext uri="{FF2B5EF4-FFF2-40B4-BE49-F238E27FC236}">
                  <a16:creationId xmlns:a16="http://schemas.microsoft.com/office/drawing/2014/main" id="{F20E0373-D1E2-4164-9D1E-AA0D75CDAB33}"/>
                </a:ext>
              </a:extLst>
            </xdr:cNvPr>
            <xdr:cNvSpPr/>
          </xdr:nvSpPr>
          <xdr:spPr>
            <a:xfrm rot="16200000">
              <a:off x="11129971"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87" name="文本_公式下部标注" descr="左括号&#10;&#10;">
              <a:extLst>
                <a:ext uri="{FF2B5EF4-FFF2-40B4-BE49-F238E27FC236}">
                  <a16:creationId xmlns:a16="http://schemas.microsoft.com/office/drawing/2014/main" id="{3BD902AA-A598-43E6-A0A7-09904DC6E032}"/>
                </a:ext>
              </a:extLst>
            </xdr:cNvPr>
            <xdr:cNvSpPr txBox="1">
              <a:spLocks noChangeArrowheads="1"/>
            </xdr:cNvSpPr>
          </xdr:nvSpPr>
          <xdr:spPr bwMode="auto">
            <a:xfrm>
              <a:off x="8445541" y="11698165"/>
              <a:ext cx="2729639"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左括号</a:t>
              </a:r>
            </a:p>
          </xdr:txBody>
        </xdr:sp>
        <xdr:sp macro="" textlink="">
          <xdr:nvSpPr>
            <xdr:cNvPr id="188" name="延伸知识箭头" descr="箭头">
              <a:extLst>
                <a:ext uri="{FF2B5EF4-FFF2-40B4-BE49-F238E27FC236}">
                  <a16:creationId xmlns:a16="http://schemas.microsoft.com/office/drawing/2014/main" id="{50512362-8176-4282-96DD-0E5296EA5938}"/>
                </a:ext>
              </a:extLst>
            </xdr:cNvPr>
            <xdr:cNvSpPr/>
          </xdr:nvSpPr>
          <xdr:spPr>
            <a:xfrm rot="16200000" flipH="1">
              <a:off x="9282121"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89" name="文本_公式下部标注" descr="右括号按 Enter 时，Excel 通常会添加该符号。&#10;&#10;">
              <a:extLst>
                <a:ext uri="{FF2B5EF4-FFF2-40B4-BE49-F238E27FC236}">
                  <a16:creationId xmlns:a16="http://schemas.microsoft.com/office/drawing/2014/main" id="{559086FB-E2A5-4229-BC6F-5221672A30BE}"/>
                </a:ext>
              </a:extLst>
            </xdr:cNvPr>
            <xdr:cNvSpPr txBox="1">
              <a:spLocks noChangeArrowheads="1"/>
            </xdr:cNvSpPr>
          </xdr:nvSpPr>
          <xdr:spPr bwMode="auto">
            <a:xfrm>
              <a:off x="12122190" y="11698165"/>
              <a:ext cx="3136859" cy="45573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右括号</a:t>
              </a:r>
              <a:r>
                <a:rPr lang="zh-CN" altLang="en-US" sz="1100">
                  <a:effectLst/>
                  <a:latin typeface="Microsoft YaHei UI" panose="020B0503020204020204" pitchFamily="34" charset="-122"/>
                  <a:ea typeface="Microsoft YaHei UI" panose="020B0503020204020204" pitchFamily="34" charset="-122"/>
                  <a:cs typeface="Times New Roman" panose="02020603050405020304" pitchFamily="18" charset="0"/>
                </a:rPr>
                <a:t>。</a:t>
              </a: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按</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 </a:t>
              </a:r>
              <a:r>
                <a:rPr lang="zh-cn" sz="1100" b="1" baseline="0">
                  <a:effectLst/>
                  <a:latin typeface="Microsoft YaHei UI" panose="020B0503020204020204" pitchFamily="34" charset="-122"/>
                  <a:ea typeface="Microsoft YaHei UI" panose="020B0503020204020204" pitchFamily="34" charset="-122"/>
                  <a:cs typeface="Times New Roman" panose="02020603050405020304" pitchFamily="18" charset="0"/>
                </a:rPr>
                <a:t>Enter</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 时，Excel 通常会添加该符号。</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sp macro="" textlink="">
          <xdr:nvSpPr>
            <xdr:cNvPr id="190" name="延伸知识箭头" descr="箭头">
              <a:extLst>
                <a:ext uri="{FF2B5EF4-FFF2-40B4-BE49-F238E27FC236}">
                  <a16:creationId xmlns:a16="http://schemas.microsoft.com/office/drawing/2014/main" id="{C318E433-BAE2-4CBB-8FB1-AE0D7270E614}"/>
                </a:ext>
              </a:extLst>
            </xdr:cNvPr>
            <xdr:cNvSpPr/>
          </xdr:nvSpPr>
          <xdr:spPr>
            <a:xfrm rot="3731154">
              <a:off x="1249900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4980813</xdr:colOff>
      <xdr:row>82</xdr:row>
      <xdr:rowOff>19050</xdr:rowOff>
    </xdr:to>
    <xdr:grpSp>
      <xdr:nvGrpSpPr>
        <xdr:cNvPr id="180" name="访问网页获取详细信息" descr="访问网页获取详细信息，包含网页链接&#10;返回页首&#10;下一步">
          <a:extLst>
            <a:ext uri="{FF2B5EF4-FFF2-40B4-BE49-F238E27FC236}">
              <a16:creationId xmlns:a16="http://schemas.microsoft.com/office/drawing/2014/main" id="{ABD21ECB-A0A3-4E0D-861E-B3FBCE376575}"/>
            </a:ext>
          </a:extLst>
        </xdr:cNvPr>
        <xdr:cNvGrpSpPr/>
      </xdr:nvGrpSpPr>
      <xdr:grpSpPr>
        <a:xfrm>
          <a:off x="342900" y="12715875"/>
          <a:ext cx="5733288" cy="3495675"/>
          <a:chOff x="323850" y="16837043"/>
          <a:chExt cx="5737224" cy="3349188"/>
        </a:xfrm>
      </xdr:grpSpPr>
      <xdr:sp macro="" textlink="">
        <xdr:nvSpPr>
          <xdr:cNvPr id="181" name="矩形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82" name="步骤" descr="访问网页获取详细信息&#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83" name="直接连接符​​ 182" descr="装饰性线条">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下一步”按钮" descr="返回页首，超链接到 A1 单元格">
            <a:hlinkClick xmlns:r="http://schemas.openxmlformats.org/officeDocument/2006/relationships" r:id="rId1" tooltip="选择此处，返回到此工作表中的 A1 单元格"/>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xnSp macro="">
        <xdr:nvCxnSpPr>
          <xdr:cNvPr id="185" name="直接连接符​​ 184" descr="装饰性线条">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sp macro="" textlink="">
        <xdr:nvSpPr>
          <xdr:cNvPr id="187" name="步骤" descr="有关 SUM 函数的全部内容，超链接到网页&#10;&#10;">
            <a:hlinkClick xmlns:r="http://schemas.openxmlformats.org/officeDocument/2006/relationships" r:id="rId3" tooltip="选择此处，从网页上了解有关 SUM 函数的全部内容"/>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88" name="图形 22" descr="箭头">
            <a:hlinkClick xmlns:r="http://schemas.openxmlformats.org/officeDocument/2006/relationships" r:id="rId3" tooltip="选择此处，从网页上了解详细信息"/>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步骤" descr="有关使用自动求和对数字进行求和的全部内容，超链接到网页&#10;">
            <a:hlinkClick xmlns:r="http://schemas.openxmlformats.org/officeDocument/2006/relationships" r:id="rId6" tooltip="选择此处，从网页上了解有关使用自动求和对数字进行求和的全部内容"/>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对数字求和</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90" name="图形 22" descr="箭头">
            <a:hlinkClick xmlns:r="http://schemas.openxmlformats.org/officeDocument/2006/relationships" r:id="rId6" tooltip="选择此处，从网页上了解详细信息"/>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步骤" descr="了解有关 COUNT 函数的全部内容，超链接到网页&#10;">
            <a:hlinkClick xmlns:r="http://schemas.openxmlformats.org/officeDocument/2006/relationships" r:id="rId7" tooltip="选择此处，从网页上了解有关 COUNT 函数的全部内容"/>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92" name="图形 22" descr="箭头">
            <a:hlinkClick xmlns:r="http://schemas.openxmlformats.org/officeDocument/2006/relationships" r:id="rId7" tooltip="选择此处，从网页上了解详细信息"/>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步骤" descr="免费 Excel 在线培训，超链接到网页&#10;">
            <a:hlinkClick xmlns:r="http://schemas.openxmlformats.org/officeDocument/2006/relationships" r:id="rId8" tooltip="选择此处，从网页上了解免费 Excel 培训"/>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194"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228600</xdr:colOff>
      <xdr:row>51</xdr:row>
      <xdr:rowOff>38590</xdr:rowOff>
    </xdr:from>
    <xdr:to>
      <xdr:col>5</xdr:col>
      <xdr:colOff>1304924</xdr:colOff>
      <xdr:row>60</xdr:row>
      <xdr:rowOff>60296</xdr:rowOff>
    </xdr:to>
    <xdr:grpSp>
      <xdr:nvGrpSpPr>
        <xdr:cNvPr id="195" name="重要详细信息" descr="重要详细信息&#10;双击此单元格。你会注意到最后那个 100。虽然可以像这样将数字放在公式中，但除非绝对必要，否则我们不推荐这么做。这被称为常量，很容易忘记它的存在。我们建议改为引用另一个单元格。这样就可以容易地看到，而不是隐藏在公式中&#10;">
          <a:extLst>
            <a:ext uri="{FF2B5EF4-FFF2-40B4-BE49-F238E27FC236}">
              <a16:creationId xmlns:a16="http://schemas.microsoft.com/office/drawing/2014/main" id="{74BFEDDD-8921-45D1-999F-60CB0E0DD7BD}"/>
            </a:ext>
          </a:extLst>
        </xdr:cNvPr>
        <xdr:cNvGrpSpPr/>
      </xdr:nvGrpSpPr>
      <xdr:grpSpPr>
        <a:xfrm>
          <a:off x="6962775" y="10325590"/>
          <a:ext cx="3562349" cy="1736206"/>
          <a:chOff x="6788150" y="10991339"/>
          <a:chExt cx="3714749" cy="1676908"/>
        </a:xfrm>
      </xdr:grpSpPr>
      <xdr:sp macro="" textlink="">
        <xdr:nvSpPr>
          <xdr:cNvPr id="196" name="说明" descr="重要详细信息&#10;双击此单元格。你会注意到最后那个 100。虽然可以像这样将数字放在公式中，但除非绝对必要，否则我们不推荐这么做。这被称为常量，很容易忘记它的存在。我们建议改为引用另一个单元格，如单元格 D16。这样就可以轻易地查看，而不是隐藏在公式中。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双击此单元格。你会注意到最后那个 </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100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。虽然可以像这样将数字放在公式中，但除非绝对必要，否则我们不推荐这么做。这被称为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常数</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，很容易忘记它的存在。我们建议改为引用另一个单元格，如单元格 F51。这样就可以轻易地查看，而不是隐藏在公式中。 </a:t>
            </a:r>
            <a:endParaRPr lang="en-US" sz="1100">
              <a:effectLst/>
              <a:latin typeface="Microsoft YaHei UI" panose="020B0503020204020204" pitchFamily="34" charset="-122"/>
              <a:ea typeface="Microsoft YaHei UI" panose="020B0503020204020204" pitchFamily="34" charset="-122"/>
            </a:endParaRPr>
          </a:p>
        </xdr:txBody>
      </xdr:sp>
      <xdr:pic>
        <xdr:nvPicPr>
          <xdr:cNvPr id="197" name="放大镜" descr="放大镜">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箭头" descr="箭头">
            <a:extLst>
              <a:ext uri="{FF2B5EF4-FFF2-40B4-BE49-F238E27FC236}">
                <a16:creationId xmlns:a16="http://schemas.microsoft.com/office/drawing/2014/main" id="{AD1DFADD-C889-466B-A332-624664B0EE01}"/>
              </a:ext>
            </a:extLst>
          </xdr:cNvPr>
          <xdr:cNvSpPr/>
        </xdr:nvSpPr>
        <xdr:spPr>
          <a:xfrm rot="3874191">
            <a:off x="8234939" y="10694157"/>
            <a:ext cx="523049" cy="1117413"/>
          </a:xfrm>
          <a:prstGeom prst="arc">
            <a:avLst>
              <a:gd name="adj1" fmla="val 16160787"/>
              <a:gd name="adj2" fmla="val 2534691"/>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4</xdr:col>
      <xdr:colOff>7420</xdr:colOff>
      <xdr:row>33</xdr:row>
      <xdr:rowOff>120650</xdr:rowOff>
    </xdr:from>
    <xdr:to>
      <xdr:col>8</xdr:col>
      <xdr:colOff>523874</xdr:colOff>
      <xdr:row>41</xdr:row>
      <xdr:rowOff>6351</xdr:rowOff>
    </xdr:to>
    <xdr:grpSp>
      <xdr:nvGrpSpPr>
        <xdr:cNvPr id="199" name="组 198">
          <a:extLst>
            <a:ext uri="{FF2B5EF4-FFF2-40B4-BE49-F238E27FC236}">
              <a16:creationId xmlns:a16="http://schemas.microsoft.com/office/drawing/2014/main" id="{786F7A4A-8EBD-4004-A856-9775A628066E}"/>
            </a:ext>
          </a:extLst>
        </xdr:cNvPr>
        <xdr:cNvGrpSpPr/>
      </xdr:nvGrpSpPr>
      <xdr:grpSpPr>
        <a:xfrm>
          <a:off x="9027595" y="6978650"/>
          <a:ext cx="4002604" cy="1409701"/>
          <a:chOff x="8132245" y="6902449"/>
          <a:chExt cx="3031054" cy="1409701"/>
        </a:xfrm>
      </xdr:grpSpPr>
      <xdr:pic>
        <xdr:nvPicPr>
          <xdr:cNvPr id="200" name="状态栏图形">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50913" y="7728050"/>
            <a:ext cx="989218" cy="188153"/>
          </a:xfrm>
          <a:prstGeom prst="rect">
            <a:avLst/>
          </a:prstGeom>
        </xdr:spPr>
      </xdr:pic>
      <xdr:grpSp>
        <xdr:nvGrpSpPr>
          <xdr:cNvPr id="201" name="看看这个" descr="看看这个&#10;选择这些单元格。然后在 Excel 窗口的右下角，可找到：&#10;求和:170&#10;这只是用来快速找到总和的另一种方法&#10;">
            <a:extLst>
              <a:ext uri="{FF2B5EF4-FFF2-40B4-BE49-F238E27FC236}">
                <a16:creationId xmlns:a16="http://schemas.microsoft.com/office/drawing/2014/main" id="{185E3144-984A-4865-9CA1-5E50300588AC}"/>
              </a:ext>
            </a:extLst>
          </xdr:cNvPr>
          <xdr:cNvGrpSpPr/>
        </xdr:nvGrpSpPr>
        <xdr:grpSpPr>
          <a:xfrm>
            <a:off x="8132245" y="6902449"/>
            <a:ext cx="3031054" cy="1409701"/>
            <a:chOff x="7539454" y="7993902"/>
            <a:chExt cx="3051071" cy="1409701"/>
          </a:xfrm>
        </xdr:grpSpPr>
        <xdr:grpSp>
          <xdr:nvGrpSpPr>
            <xdr:cNvPr id="202" name="括号线">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另一条括号线" descr="括号线">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206" name="括号线" descr="括号线&#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203" name="星星" descr="星星">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说明" descr="看看这个&#10;选择这些单元格。然后在 Excel 窗口的右下角，底部栏中可找到 SUM：170。&#10;&#10;该栏称为“状态栏”，它是快速查找选定单元格或区域的总和与其他详细信息的另一种方式。 &#10;">
              <a:extLst>
                <a:ext uri="{FF2B5EF4-FFF2-40B4-BE49-F238E27FC236}">
                  <a16:creationId xmlns:a16="http://schemas.microsoft.com/office/drawing/2014/main" id="{8143D8DB-BD14-4B1D-99E1-49C9F0560BD1}"/>
                </a:ext>
              </a:extLst>
            </xdr:cNvPr>
            <xdr:cNvSpPr txBox="1"/>
          </xdr:nvSpPr>
          <xdr:spPr>
            <a:xfrm>
              <a:off x="8132528" y="799390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选择这些单元格。然后在 </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Excel 窗口的右下角，可找到：</a:t>
              </a:r>
            </a:p>
            <a:p>
              <a:pPr lvl="0" rtl="0">
                <a:defRPr/>
              </a:pPr>
              <a:br>
                <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b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该栏称为“状态栏”，它是快速查找选定单元格或区域的总和与其他详细信息的另一种方式。 </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grpSp>
    <xdr:clientData/>
  </xdr:twoCellAnchor>
  <xdr:twoCellAnchor editAs="oneCell">
    <xdr:from>
      <xdr:col>5</xdr:col>
      <xdr:colOff>933449</xdr:colOff>
      <xdr:row>15</xdr:row>
      <xdr:rowOff>28576</xdr:rowOff>
    </xdr:from>
    <xdr:to>
      <xdr:col>8</xdr:col>
      <xdr:colOff>361948</xdr:colOff>
      <xdr:row>22</xdr:row>
      <xdr:rowOff>85725</xdr:rowOff>
    </xdr:to>
    <xdr:grpSp>
      <xdr:nvGrpSpPr>
        <xdr:cNvPr id="207" name="组 206" descr="延伸知识&#10;尝试在此处添加另一个 SUMIF 公式，但是添加金额要小于 100。结果应为 160&#10;">
          <a:extLst>
            <a:ext uri="{FF2B5EF4-FFF2-40B4-BE49-F238E27FC236}">
              <a16:creationId xmlns:a16="http://schemas.microsoft.com/office/drawing/2014/main" id="{E7464239-05BB-404B-98D2-35A40E4685F6}"/>
            </a:ext>
          </a:extLst>
        </xdr:cNvPr>
        <xdr:cNvGrpSpPr/>
      </xdr:nvGrpSpPr>
      <xdr:grpSpPr>
        <a:xfrm>
          <a:off x="10153649" y="3457576"/>
          <a:ext cx="2714624" cy="1390649"/>
          <a:chOff x="9048750" y="3743325"/>
          <a:chExt cx="2839722" cy="1390649"/>
        </a:xfrm>
      </xdr:grpSpPr>
      <xdr:sp macro="" textlink="">
        <xdr:nvSpPr>
          <xdr:cNvPr id="208" name="步骤" descr="延伸知识&#10;请使用任何尝试过的方法试用 COUNT 函数。COUNT 函数可对包含数字的单元格区域进行计数。&#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请使用任何试过的方式试用</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 COUNT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COUNT </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函数可对包含数字的单元格区域进行计数</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a:t>
            </a:r>
          </a:p>
        </xdr:txBody>
      </xdr:sp>
      <xdr:pic>
        <xdr:nvPicPr>
          <xdr:cNvPr id="209" name="延伸知识功能区" descr="装饰功能区">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延伸知识箭头" descr="箭头">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组 3">
          <a:extLst>
            <a:ext uri="{FF2B5EF4-FFF2-40B4-BE49-F238E27FC236}">
              <a16:creationId xmlns:a16="http://schemas.microsoft.com/office/drawing/2014/main" id="{F60B4319-44A9-469F-A62C-1D9E3BD387BB}"/>
            </a:ext>
          </a:extLst>
        </xdr:cNvPr>
        <xdr:cNvGrpSpPr/>
      </xdr:nvGrpSpPr>
      <xdr:grpSpPr>
        <a:xfrm>
          <a:off x="355809" y="4791080"/>
          <a:ext cx="5980938" cy="7848595"/>
          <a:chOff x="355809" y="4791079"/>
          <a:chExt cx="5733288" cy="7848596"/>
        </a:xfrm>
      </xdr:grpSpPr>
      <xdr:sp macro="" textlink="">
        <xdr:nvSpPr>
          <xdr:cNvPr id="227" name="矩形 226" descr="背景">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28" name="直接连接符​​ 227" descr="装饰性线条">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直接连接符​​ 228" descr="装饰性线条">
            <a:extLst>
              <a:ext uri="{FF2B5EF4-FFF2-40B4-BE49-F238E27FC236}">
                <a16:creationId xmlns:a16="http://schemas.microsoft.com/office/drawing/2014/main" id="{178E934D-C0C4-4CD9-B5EC-2F0A9FC59848}"/>
              </a:ext>
            </a:extLst>
          </xdr:cNvPr>
          <xdr:cNvCxnSpPr>
            <a:cxnSpLocks/>
          </xdr:cNvCxnSpPr>
        </xdr:nvCxnSpPr>
        <xdr:spPr>
          <a:xfrm>
            <a:off x="549298" y="12458847"/>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步骤" descr="有关函数的详细信息&#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有关函数的详细信息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1" name="步骤" descr="转到“公式”选项卡并浏览函数库，其中函数按类别列出，如文本、日期和时间等。使用“插入函数”可按名称搜索函数，并启动可助你生成公式的向导。&#10;&#10;如果在按 = 后开始键入函数，Excel 将启动 Intellisense，列出以键入字母开头的所有函数。找到所需函数后，请按 Tab，Excel 将自动完成函数名称并为你输入左括号。此外还将显示可选和必需参数。&#10;&#10;现在我们来看一下几个函数的解析。SUM 函数的结构如下所示：&#10;&#10;=SUM(D38:D41,H:H&quot;)，其中 SUM 是函数名称，D38:D41 是第一个参数。它是始终需要的参数。H:H 是附加参数，用逗号分隔。&#10;&#10;">
            <a:extLst>
              <a:ext uri="{FF2B5EF4-FFF2-40B4-BE49-F238E27FC236}">
                <a16:creationId xmlns:a16="http://schemas.microsoft.com/office/drawing/2014/main" id="{17A99C0A-6405-4FD6-AD00-AD6255FB6C83}"/>
              </a:ext>
            </a:extLst>
          </xdr:cNvPr>
          <xdr:cNvSpPr txBox="1"/>
        </xdr:nvSpPr>
        <xdr:spPr>
          <a:xfrm>
            <a:off x="564213" y="5559755"/>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转到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”选项卡并浏览</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函数库</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200" kern="1200" baseline="0">
                <a:solidFill>
                  <a:schemeClr val="dk1"/>
                </a:solidFill>
                <a:effectLst/>
                <a:latin typeface="Microsoft YaHei UI" panose="020B0503020204020204" pitchFamily="34" charset="-122"/>
                <a:ea typeface="Microsoft YaHei UI" panose="020B0503020204020204" pitchFamily="34" charset="-122"/>
                <a:cs typeface="+mn-cs"/>
              </a:rPr>
              <a:t>其中函数按类别列出，如</a:t>
            </a:r>
            <a:r>
              <a:rPr lang="zh-cn" sz="1100" b="1" kern="1200" baseline="0">
                <a:solidFill>
                  <a:schemeClr val="dk1"/>
                </a:solidFill>
                <a:effectLst/>
                <a:latin typeface="Microsoft YaHei UI" panose="020B0503020204020204" pitchFamily="34" charset="-122"/>
                <a:ea typeface="Microsoft YaHei UI" panose="020B0503020204020204" pitchFamily="34" charset="-122"/>
                <a:cs typeface="+mn-cs"/>
              </a:rPr>
              <a:t>文本</a:t>
            </a:r>
            <a:r>
              <a:rPr lang="zh-cn" sz="1100" kern="1200" baseline="0">
                <a:solidFill>
                  <a:schemeClr val="dk1"/>
                </a:solidFill>
                <a:effectLst/>
                <a:latin typeface="Microsoft YaHei UI" panose="020B0503020204020204" pitchFamily="34" charset="-122"/>
                <a:ea typeface="Microsoft YaHei UI" panose="020B0503020204020204" pitchFamily="34" charset="-122"/>
                <a:cs typeface="+mn-cs"/>
              </a:rPr>
              <a:t>、</a:t>
            </a:r>
            <a:r>
              <a:rPr lang="zh-cn" sz="1100" b="1" kern="1200" baseline="0">
                <a:solidFill>
                  <a:schemeClr val="dk1"/>
                </a:solidFill>
                <a:effectLst/>
                <a:latin typeface="Microsoft YaHei UI" panose="020B0503020204020204" pitchFamily="34" charset="-122"/>
                <a:ea typeface="Microsoft YaHei UI" panose="020B0503020204020204" pitchFamily="34" charset="-122"/>
                <a:cs typeface="+mn-cs"/>
              </a:rPr>
              <a:t>日期和时间</a:t>
            </a:r>
            <a:r>
              <a:rPr lang="zh-cn" sz="1200" kern="1200" baseline="0">
                <a:solidFill>
                  <a:schemeClr val="dk1"/>
                </a:solidFill>
                <a:effectLst/>
                <a:latin typeface="Microsoft YaHei UI" panose="020B0503020204020204" pitchFamily="34" charset="-122"/>
                <a:ea typeface="Microsoft YaHei UI" panose="020B0503020204020204" pitchFamily="34" charset="-122"/>
                <a:cs typeface="+mn-cs"/>
              </a:rPr>
              <a:t>等。</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插入函数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”，你可按名称搜索函数，并启动可助你生成公式的向导。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如果在按</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 </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后开始键入函数</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将启动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Intellisense</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，列出以键入字母开头的所有函数。找到所需函数后，请按 Tab，Excel 将自动完成函数名称并为你输入左括号。此外还将显示可选和必需参数。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endParaRPr lang="en-US" alt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现在我们来看一下几个函数的解析。</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 </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函数的结构如下所示</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xdr:from>
      <xdr:col>1</xdr:col>
      <xdr:colOff>1219955</xdr:colOff>
      <xdr:row>34</xdr:row>
      <xdr:rowOff>40079</xdr:rowOff>
    </xdr:from>
    <xdr:to>
      <xdr:col>1</xdr:col>
      <xdr:colOff>3165961</xdr:colOff>
      <xdr:row>37</xdr:row>
      <xdr:rowOff>16998</xdr:rowOff>
    </xdr:to>
    <xdr:pic>
      <xdr:nvPicPr>
        <xdr:cNvPr id="213" name="图片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067680" y="7088579"/>
          <a:ext cx="1946006" cy="548419"/>
        </a:xfrm>
        <a:prstGeom prst="rect">
          <a:avLst/>
        </a:prstGeom>
      </xdr:spPr>
    </xdr:pic>
    <xdr:clientData/>
  </xdr:twoCellAnchor>
  <xdr:twoCellAnchor>
    <xdr:from>
      <xdr:col>1</xdr:col>
      <xdr:colOff>557897</xdr:colOff>
      <xdr:row>41</xdr:row>
      <xdr:rowOff>57151</xdr:rowOff>
    </xdr:from>
    <xdr:to>
      <xdr:col>1</xdr:col>
      <xdr:colOff>3778369</xdr:colOff>
      <xdr:row>51</xdr:row>
      <xdr:rowOff>45448</xdr:rowOff>
    </xdr:to>
    <xdr:grpSp>
      <xdr:nvGrpSpPr>
        <xdr:cNvPr id="214" name="组 213">
          <a:extLst>
            <a:ext uri="{FF2B5EF4-FFF2-40B4-BE49-F238E27FC236}">
              <a16:creationId xmlns:a16="http://schemas.microsoft.com/office/drawing/2014/main" id="{FB827C73-8C3F-460A-9D51-BF988EA48D11}"/>
            </a:ext>
          </a:extLst>
        </xdr:cNvPr>
        <xdr:cNvGrpSpPr/>
      </xdr:nvGrpSpPr>
      <xdr:grpSpPr>
        <a:xfrm>
          <a:off x="1653272" y="8439151"/>
          <a:ext cx="3220472" cy="1893297"/>
          <a:chOff x="4319575" y="4314825"/>
          <a:chExt cx="3199499" cy="1893297"/>
        </a:xfrm>
      </xdr:grpSpPr>
      <xdr:sp macro="" textlink="">
        <xdr:nvSpPr>
          <xdr:cNvPr id="219" name="文本_公式" descr="=SUM(D38:D41) ">
            <a:extLst>
              <a:ext uri="{FF2B5EF4-FFF2-40B4-BE49-F238E27FC236}">
                <a16:creationId xmlns:a16="http://schemas.microsoft.com/office/drawing/2014/main" id="{7E312E8D-370B-4CB1-9C30-9E10D575E721}"/>
              </a:ext>
            </a:extLst>
          </xdr:cNvPr>
          <xdr:cNvSpPr txBox="1"/>
        </xdr:nvSpPr>
        <xdr:spPr>
          <a:xfrm>
            <a:off x="4386251" y="5676900"/>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=SUM(D38:D41,H:H)</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0" name="组 219">
            <a:extLst>
              <a:ext uri="{FF2B5EF4-FFF2-40B4-BE49-F238E27FC236}">
                <a16:creationId xmlns:a16="http://schemas.microsoft.com/office/drawing/2014/main" id="{EA425C25-3538-467E-9C7D-913A4CCFBE52}"/>
              </a:ext>
            </a:extLst>
          </xdr:cNvPr>
          <xdr:cNvGrpSpPr/>
        </xdr:nvGrpSpPr>
        <xdr:grpSpPr>
          <a:xfrm>
            <a:off x="4319575" y="4314825"/>
            <a:ext cx="3088979" cy="1394627"/>
            <a:chOff x="4319575" y="4314825"/>
            <a:chExt cx="3088979" cy="1394627"/>
          </a:xfrm>
        </xdr:grpSpPr>
        <xdr:sp macro="" textlink="">
          <xdr:nvSpPr>
            <xdr:cNvPr id="221" name="公式下括号">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2" name="公式下括号">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3" name="公式下括号">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4" name="文本_公式下部标注" descr="函数名称&#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8953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函数名称。</a:t>
              </a:r>
            </a:p>
          </xdr:txBody>
        </xdr:sp>
        <xdr:sp macro="" textlink="">
          <xdr:nvSpPr>
            <xdr:cNvPr id="225" name="文本_公式下部标注" descr="第一个参数。它是始终需要的参数。&#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8953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第一个参数。它是始终需要的参数。</a:t>
              </a:r>
            </a:p>
          </xdr:txBody>
        </xdr:sp>
        <xdr:sp macro="" textlink="">
          <xdr:nvSpPr>
            <xdr:cNvPr id="226" name="文本_公式下部标注" descr="附加参数，用逗号 (,) 分隔。&#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850603" cy="8953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附加参数，用逗号 (,) 分隔。</a:t>
              </a:r>
            </a:p>
          </xdr:txBody>
        </xdr:sp>
      </xdr:grpSp>
    </xdr:grpSp>
    <xdr:clientData/>
  </xdr:twoCellAnchor>
  <xdr:twoCellAnchor>
    <xdr:from>
      <xdr:col>0</xdr:col>
      <xdr:colOff>547558</xdr:colOff>
      <xdr:row>50</xdr:row>
      <xdr:rowOff>38101</xdr:rowOff>
    </xdr:from>
    <xdr:to>
      <xdr:col>1</xdr:col>
      <xdr:colOff>5048250</xdr:colOff>
      <xdr:row>53</xdr:row>
      <xdr:rowOff>20850</xdr:rowOff>
    </xdr:to>
    <xdr:sp macro="" textlink="">
      <xdr:nvSpPr>
        <xdr:cNvPr id="215" name="文本_步骤" descr="如果对 SUM 函数进行解释，应会是：返回单元格 D38 到 D41 中的所有值以及 H 列的所有值的总和。现在，我们来试用一个不需要任何参数的函数。&#10;">
          <a:extLst>
            <a:ext uri="{FF2B5EF4-FFF2-40B4-BE49-F238E27FC236}">
              <a16:creationId xmlns:a16="http://schemas.microsoft.com/office/drawing/2014/main" id="{22A1C554-76ED-4E49-A496-849BD442214B}"/>
            </a:ext>
          </a:extLst>
        </xdr:cNvPr>
        <xdr:cNvSpPr txBox="1"/>
      </xdr:nvSpPr>
      <xdr:spPr>
        <a:xfrm>
          <a:off x="547558" y="10134601"/>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函数进行解释，应会是：“返回单元格 D38 到 D41 中的所有值以及 H 列的所有值的总和”。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现在，我们来试用一个不需要任何参数的函数。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1</xdr:col>
      <xdr:colOff>745953</xdr:colOff>
      <xdr:row>55</xdr:row>
      <xdr:rowOff>104775</xdr:rowOff>
    </xdr:from>
    <xdr:to>
      <xdr:col>1</xdr:col>
      <xdr:colOff>3438525</xdr:colOff>
      <xdr:row>63</xdr:row>
      <xdr:rowOff>54973</xdr:rowOff>
    </xdr:to>
    <xdr:grpSp>
      <xdr:nvGrpSpPr>
        <xdr:cNvPr id="3" name="组 2">
          <a:extLst>
            <a:ext uri="{FF2B5EF4-FFF2-40B4-BE49-F238E27FC236}">
              <a16:creationId xmlns:a16="http://schemas.microsoft.com/office/drawing/2014/main" id="{A1A853C7-B6EC-45D3-A4D6-9D928865ED9B}"/>
            </a:ext>
          </a:extLst>
        </xdr:cNvPr>
        <xdr:cNvGrpSpPr/>
      </xdr:nvGrpSpPr>
      <xdr:grpSpPr>
        <a:xfrm>
          <a:off x="1841328" y="11153775"/>
          <a:ext cx="2692572" cy="1474198"/>
          <a:chOff x="1869903" y="11077575"/>
          <a:chExt cx="2692572" cy="1474198"/>
        </a:xfrm>
      </xdr:grpSpPr>
      <xdr:sp macro="" textlink="">
        <xdr:nvSpPr>
          <xdr:cNvPr id="216" name="公式下括号">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7" name="文本_公式" descr="=TODAY()">
            <a:extLst>
              <a:ext uri="{FF2B5EF4-FFF2-40B4-BE49-F238E27FC236}">
                <a16:creationId xmlns:a16="http://schemas.microsoft.com/office/drawing/2014/main" id="{22DC5E2D-9AE9-4EFE-B800-9356D8B70BA7}"/>
              </a:ext>
            </a:extLst>
          </xdr:cNvPr>
          <xdr:cNvSpPr txBox="1"/>
        </xdr:nvSpPr>
        <xdr:spPr>
          <a:xfrm>
            <a:off x="2541400" y="120205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=TODAY()</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18" name="文本_公式下部标注" descr="TODAY 函数可返回当前日期。它会在 Excel 重新计算时自动更新。&#10;&#10;">
            <a:extLst>
              <a:ext uri="{FF2B5EF4-FFF2-40B4-BE49-F238E27FC236}">
                <a16:creationId xmlns:a16="http://schemas.microsoft.com/office/drawing/2014/main" id="{52549E0D-FD3F-475B-B881-0D180B27FDC0}"/>
              </a:ext>
            </a:extLst>
          </xdr:cNvPr>
          <xdr:cNvSpPr txBox="1">
            <a:spLocks noChangeArrowheads="1"/>
          </xdr:cNvSpPr>
        </xdr:nvSpPr>
        <xdr:spPr bwMode="auto">
          <a:xfrm>
            <a:off x="1869903" y="11077575"/>
            <a:ext cx="2692572" cy="5715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b="1">
                <a:effectLst/>
                <a:latin typeface="Microsoft YaHei UI" panose="020B0503020204020204" pitchFamily="34" charset="-122"/>
                <a:ea typeface="Microsoft YaHei UI" panose="020B0503020204020204" pitchFamily="34" charset="-122"/>
                <a:cs typeface="Times New Roman" panose="02020603050405020304" pitchFamily="18" charset="0"/>
              </a:rPr>
              <a:t>TODAY</a:t>
            </a:r>
            <a:r>
              <a:rPr lang="zh-cn" sz="1100" b="0">
                <a:effectLst/>
                <a:latin typeface="Microsoft YaHei UI" panose="020B0503020204020204" pitchFamily="34" charset="-122"/>
                <a:ea typeface="Microsoft YaHei UI" panose="020B0503020204020204" pitchFamily="34" charset="-122"/>
                <a:cs typeface="Times New Roman" panose="02020603050405020304" pitchFamily="18" charset="0"/>
              </a:rPr>
              <a:t>函数可返回当前日期</a:t>
            </a:r>
            <a:r>
              <a:rPr lang="zh-cn" sz="1100" b="1">
                <a:effectLst/>
                <a:latin typeface="Microsoft YaHei UI" panose="020B0503020204020204" pitchFamily="34" charset="-122"/>
                <a:ea typeface="Microsoft YaHei UI" panose="020B0503020204020204" pitchFamily="34" charset="-122"/>
                <a:cs typeface="Times New Roman" panose="02020603050405020304" pitchFamily="18" charset="0"/>
              </a:rPr>
              <a:t>。</a:t>
            </a: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它会在 Excel </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重新计算时自动更新。</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 name="组合 231">
          <a:extLst>
            <a:ext uri="{FF2B5EF4-FFF2-40B4-BE49-F238E27FC236}">
              <a16:creationId xmlns:a16="http://schemas.microsoft.com/office/drawing/2014/main" id="{9C991D14-03BA-435C-83F9-7D4FB0532CC0}"/>
            </a:ext>
          </a:extLst>
        </xdr:cNvPr>
        <xdr:cNvGrpSpPr/>
      </xdr:nvGrpSpPr>
      <xdr:grpSpPr>
        <a:xfrm>
          <a:off x="342900" y="352424"/>
          <a:ext cx="5981700" cy="4368942"/>
          <a:chOff x="342900" y="352424"/>
          <a:chExt cx="5981700" cy="4368942"/>
        </a:xfrm>
      </xdr:grpSpPr>
      <xdr:sp macro="" textlink="">
        <xdr:nvSpPr>
          <xdr:cNvPr id="233" name="文本_教程背景" descr="背景">
            <a:extLst>
              <a:ext uri="{FF2B5EF4-FFF2-40B4-BE49-F238E27FC236}">
                <a16:creationId xmlns:a16="http://schemas.microsoft.com/office/drawing/2014/main" id="{2E503384-DBF5-4D47-BF12-EEAC0918D4AA}"/>
              </a:ext>
            </a:extLst>
          </xdr:cNvPr>
          <xdr:cNvSpPr/>
        </xdr:nvSpPr>
        <xdr:spPr>
          <a:xfrm>
            <a:off x="342900" y="352424"/>
            <a:ext cx="5981700" cy="43689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4" name="文本_教程标题" descr="函数简介">
            <a:extLst>
              <a:ext uri="{FF2B5EF4-FFF2-40B4-BE49-F238E27FC236}">
                <a16:creationId xmlns:a16="http://schemas.microsoft.com/office/drawing/2014/main" id="{7D4667CC-B735-408F-A1E4-6FA13B1FB7FB}"/>
              </a:ext>
            </a:extLst>
          </xdr:cNvPr>
          <xdr:cNvSpPr txBox="1"/>
        </xdr:nvSpPr>
        <xdr:spPr>
          <a:xfrm>
            <a:off x="564816" y="451493"/>
            <a:ext cx="5478251" cy="505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函数简介</a:t>
            </a:r>
          </a:p>
        </xdr:txBody>
      </xdr:sp>
      <xdr:cxnSp macro="">
        <xdr:nvCxnSpPr>
          <xdr:cNvPr id="235" name="文本_教程线条 1" descr="装饰性线条">
            <a:extLst>
              <a:ext uri="{FF2B5EF4-FFF2-40B4-BE49-F238E27FC236}">
                <a16:creationId xmlns:a16="http://schemas.microsoft.com/office/drawing/2014/main" id="{B2C34DDE-3E39-4FB3-B22B-EE9DE303EF82}"/>
              </a:ext>
            </a:extLst>
          </xdr:cNvPr>
          <xdr:cNvCxnSpPr>
            <a:cxnSpLocks/>
          </xdr:cNvCxnSpPr>
        </xdr:nvCxnSpPr>
        <xdr:spPr>
          <a:xfrm>
            <a:off x="564816" y="998284"/>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文本_教程线条 2" descr="装饰性线条">
            <a:extLst>
              <a:ext uri="{FF2B5EF4-FFF2-40B4-BE49-F238E27FC236}">
                <a16:creationId xmlns:a16="http://schemas.microsoft.com/office/drawing/2014/main" id="{EEEF91CB-D253-4B04-B06F-EF082C03A170}"/>
              </a:ext>
            </a:extLst>
          </xdr:cNvPr>
          <xdr:cNvCxnSpPr>
            <a:cxnSpLocks/>
          </xdr:cNvCxnSpPr>
        </xdr:nvCxnSpPr>
        <xdr:spPr>
          <a:xfrm>
            <a:off x="564816" y="3911202"/>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文本_教程简介" descr="函数可为你提供执行各种任务的功能，如进行数学运算、查找值或者计算日期和时间。让我们使用 SUM 函数，通过几种方法对值进行相加。&#10;">
            <a:extLst>
              <a:ext uri="{FF2B5EF4-FFF2-40B4-BE49-F238E27FC236}">
                <a16:creationId xmlns:a16="http://schemas.microsoft.com/office/drawing/2014/main" id="{D14E5F97-98FC-4309-B1F6-64DC7B7C29DE}"/>
              </a:ext>
            </a:extLst>
          </xdr:cNvPr>
          <xdr:cNvSpPr txBox="1"/>
        </xdr:nvSpPr>
        <xdr:spPr>
          <a:xfrm>
            <a:off x="571607" y="1080664"/>
            <a:ext cx="5478251" cy="505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函数可为你提供执行各种任务的功能，如进行数学运算、查找值或者计算日期和时间。让我们使用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函数，通过几种方法对值进行相加。</a:t>
            </a:r>
          </a:p>
        </xdr:txBody>
      </xdr:sp>
      <xdr:grpSp>
        <xdr:nvGrpSpPr>
          <xdr:cNvPr id="238" name="组_步骤">
            <a:extLst>
              <a:ext uri="{FF2B5EF4-FFF2-40B4-BE49-F238E27FC236}">
                <a16:creationId xmlns:a16="http://schemas.microsoft.com/office/drawing/2014/main" id="{B0D2ED24-6683-4531-B8F5-0F2F4933BA4A}"/>
              </a:ext>
            </a:extLst>
          </xdr:cNvPr>
          <xdr:cNvGrpSpPr/>
        </xdr:nvGrpSpPr>
        <xdr:grpSpPr>
          <a:xfrm>
            <a:off x="571437" y="1769111"/>
            <a:ext cx="5663735" cy="600298"/>
            <a:chOff x="609600" y="7810500"/>
            <a:chExt cx="5394025" cy="577157"/>
          </a:xfrm>
        </xdr:grpSpPr>
        <xdr:sp macro="" textlink="">
          <xdr:nvSpPr>
            <xdr:cNvPr id="247" name="文本_步骤" descr="在水果数量列（单元格 D7）下，输入 =SUM(D3:D6) 或键入 =SUM(，然后用鼠标选择区域并按 Enter。这将对单元格 D3、D4、D5 和 D6 中的值进行求和。运算结果应为 170。&#10;&#10;&#10;&#10;">
              <a:extLst>
                <a:ext uri="{FF2B5EF4-FFF2-40B4-BE49-F238E27FC236}">
                  <a16:creationId xmlns:a16="http://schemas.microsoft.com/office/drawing/2014/main" id="{810A5AB8-1BE7-4AA1-A49C-BD6D215DAFA4}"/>
                </a:ext>
              </a:extLst>
            </xdr:cNvPr>
            <xdr:cNvSpPr txBox="1"/>
          </xdr:nvSpPr>
          <xdr:spPr>
            <a:xfrm>
              <a:off x="1017294" y="7833408"/>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在水果数量列下（单元格 D7）下，输入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=SUM(D3:D6)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，然后用鼠标选择区域并按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。这将对单元格 D3、D4、D5 和 D6 中的值进行求和。运算结果应为 170。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8" name="形状_步骤"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239" name="组_步骤">
            <a:extLst>
              <a:ext uri="{FF2B5EF4-FFF2-40B4-BE49-F238E27FC236}">
                <a16:creationId xmlns:a16="http://schemas.microsoft.com/office/drawing/2014/main" id="{D760DDB7-6B91-4E00-B2BE-F1BD6817C42A}"/>
              </a:ext>
            </a:extLst>
          </xdr:cNvPr>
          <xdr:cNvGrpSpPr/>
        </xdr:nvGrpSpPr>
        <xdr:grpSpPr>
          <a:xfrm>
            <a:off x="571437" y="2513266"/>
            <a:ext cx="5445554" cy="820487"/>
            <a:chOff x="609600" y="7987805"/>
            <a:chExt cx="5186234" cy="788858"/>
          </a:xfrm>
        </xdr:grpSpPr>
        <xdr:sp macro="" textlink="">
          <xdr:nvSpPr>
            <xdr:cNvPr id="245" name="文本_步骤" descr="现在，让我们尝试自动求和。选择肉类列下的黄色单元格（单元格 G7），然后转到“公式”&gt;“自动求和”&gt;选择“求和”。将看到 Excel 自动为你输入公式。按 Enter 进行确认。自动求和功能包含所有最常用的函数。&#10;&#10;">
              <a:extLst>
                <a:ext uri="{FF2B5EF4-FFF2-40B4-BE49-F238E27FC236}">
                  <a16:creationId xmlns:a16="http://schemas.microsoft.com/office/drawing/2014/main" id="{C6CA8983-E35C-4984-9B4D-732042B193D4}"/>
                </a:ext>
              </a:extLst>
            </xdr:cNvPr>
            <xdr:cNvSpPr txBox="1"/>
          </xdr:nvSpPr>
          <xdr:spPr>
            <a:xfrm>
              <a:off x="1017295" y="8029763"/>
              <a:ext cx="4778539" cy="746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现在，让我们尝试</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。选择肉类列下的黄色单元格（单元格 G7），然后转到“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”&gt;选择“</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”。将看到 Excel 自动为你输入公式。按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进行确认。</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功能包含所有最常用的函数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6" name="形状_步骤" descr="2">
              <a:extLst>
                <a:ext uri="{FF2B5EF4-FFF2-40B4-BE49-F238E27FC236}">
                  <a16:creationId xmlns:a16="http://schemas.microsoft.com/office/drawing/2014/main" id="{09967B0C-29E8-4781-A6FA-F5CB00C8AEBC}"/>
                </a:ext>
              </a:extLst>
            </xdr:cNvPr>
            <xdr:cNvSpPr/>
          </xdr:nvSpPr>
          <xdr:spPr>
            <a:xfrm>
              <a:off x="609600" y="798780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240" name="组 239">
            <a:extLst>
              <a:ext uri="{FF2B5EF4-FFF2-40B4-BE49-F238E27FC236}">
                <a16:creationId xmlns:a16="http://schemas.microsoft.com/office/drawing/2014/main" id="{DCC331A5-B81B-407D-A604-3A6691EE3721}"/>
              </a:ext>
            </a:extLst>
          </xdr:cNvPr>
          <xdr:cNvGrpSpPr/>
        </xdr:nvGrpSpPr>
        <xdr:grpSpPr>
          <a:xfrm>
            <a:off x="571437" y="3334401"/>
            <a:ext cx="5461090" cy="625191"/>
            <a:chOff x="561975" y="2952750"/>
            <a:chExt cx="5234994"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sp macro="" textlink="">
          <xdr:nvSpPr>
            <xdr:cNvPr id="242" name="步骤" descr="下面是简便的键盘快捷方式。选择单元格 D15 并按 Alt =，然后按 Enter。这将为你自动输入 SUM。&#10;">
              <a:extLst>
                <a:ext uri="{FF2B5EF4-FFF2-40B4-BE49-F238E27FC236}">
                  <a16:creationId xmlns:a16="http://schemas.microsoft.com/office/drawing/2014/main" id="{560D1E18-37A7-48F2-AA0C-0AF6088AF0AB}"/>
                </a:ext>
              </a:extLst>
            </xdr:cNvPr>
            <xdr:cNvSpPr txBox="1"/>
          </xdr:nvSpPr>
          <xdr:spPr>
            <a:xfrm>
              <a:off x="987453" y="2998240"/>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下面是简便的键盘快捷方式。选择单元格 D15 并按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Enter。这将为你自动输入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xdr:txBody>
        </xdr:sp>
        <xdr:sp macro="" textlink="">
          <xdr:nvSpPr>
            <xdr:cNvPr id="243" name="等号键" descr="等号键">
              <a:extLst>
                <a:ext uri="{FF2B5EF4-FFF2-40B4-BE49-F238E27FC236}">
                  <a16:creationId xmlns:a16="http://schemas.microsoft.com/office/drawing/2014/main" id="{CF33041B-BB98-41EE-BDDE-38D58DF9865E}"/>
                </a:ext>
              </a:extLst>
            </xdr:cNvPr>
            <xdr:cNvSpPr/>
          </xdr:nvSpPr>
          <xdr:spPr>
            <a:xfrm>
              <a:off x="4637186"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000">
                  <a:solidFill>
                    <a:schemeClr val="tx1"/>
                  </a:solidFill>
                  <a:latin typeface="Microsoft YaHei UI" panose="020B0503020204020204" pitchFamily="34" charset="-122"/>
                  <a:ea typeface="Microsoft YaHei UI" panose="020B0503020204020204" pitchFamily="34" charset="-122"/>
                </a:rPr>
                <a:t>=</a:t>
              </a:r>
              <a:endParaRPr lang="en-US" sz="900">
                <a:solidFill>
                  <a:schemeClr val="tx1"/>
                </a:solidFill>
                <a:latin typeface="Microsoft YaHei UI" panose="020B0503020204020204" pitchFamily="34" charset="-122"/>
                <a:ea typeface="Microsoft YaHei UI" panose="020B0503020204020204" pitchFamily="34" charset="-122"/>
              </a:endParaRPr>
            </a:p>
          </xdr:txBody>
        </xdr:sp>
        <xdr:sp macro="" textlink="">
          <xdr:nvSpPr>
            <xdr:cNvPr id="244" name="Alt 键" descr="Alt 键">
              <a:extLst>
                <a:ext uri="{FF2B5EF4-FFF2-40B4-BE49-F238E27FC236}">
                  <a16:creationId xmlns:a16="http://schemas.microsoft.com/office/drawing/2014/main" id="{0BFE17A4-7B91-43C3-90BB-12A4D5132A91}"/>
                </a:ext>
              </a:extLst>
            </xdr:cNvPr>
            <xdr:cNvSpPr/>
          </xdr:nvSpPr>
          <xdr:spPr>
            <a:xfrm>
              <a:off x="4145371"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900" spc="100" baseline="0">
                  <a:solidFill>
                    <a:schemeClr val="tx1"/>
                  </a:solidFill>
                  <a:latin typeface="Microsoft YaHei UI" panose="020B0503020204020204" pitchFamily="34" charset="-122"/>
                  <a:ea typeface="Microsoft YaHei UI" panose="020B0503020204020204" pitchFamily="34" charset="-122"/>
                </a:rPr>
                <a:t>Alt</a:t>
              </a:r>
              <a:endParaRPr lang="en-US" sz="800" spc="100" baseline="0">
                <a:solidFill>
                  <a:schemeClr val="tx1"/>
                </a:solidFill>
                <a:latin typeface="Microsoft YaHei UI" panose="020B0503020204020204" pitchFamily="34" charset="-122"/>
                <a:ea typeface="Microsoft YaHei UI" panose="020B0503020204020204" pitchFamily="34" charset="-122"/>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详细信息按钮" descr="向下滚动查看更多详细信息">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962026</xdr:colOff>
      <xdr:row>15</xdr:row>
      <xdr:rowOff>9525</xdr:rowOff>
    </xdr:from>
    <xdr:to>
      <xdr:col>10</xdr:col>
      <xdr:colOff>9524</xdr:colOff>
      <xdr:row>22</xdr:row>
      <xdr:rowOff>66674</xdr:rowOff>
    </xdr:to>
    <xdr:grpSp>
      <xdr:nvGrpSpPr>
        <xdr:cNvPr id="50" name="组 49" descr="延伸知识&#10;尝试在此处添加另一个 SUMIF 公式，但是添加金额要小于 100。结果应为 160&#10;">
          <a:extLst>
            <a:ext uri="{FF2B5EF4-FFF2-40B4-BE49-F238E27FC236}">
              <a16:creationId xmlns:a16="http://schemas.microsoft.com/office/drawing/2014/main" id="{43A9A155-5F39-462E-9668-46F47F332723}"/>
            </a:ext>
          </a:extLst>
        </xdr:cNvPr>
        <xdr:cNvGrpSpPr/>
      </xdr:nvGrpSpPr>
      <xdr:grpSpPr>
        <a:xfrm>
          <a:off x="10229851" y="3438525"/>
          <a:ext cx="3667123" cy="1390649"/>
          <a:chOff x="9048750" y="3743325"/>
          <a:chExt cx="3836115" cy="1390649"/>
        </a:xfrm>
      </xdr:grpSpPr>
      <xdr:sp macro="" textlink="">
        <xdr:nvSpPr>
          <xdr:cNvPr id="51" name="步骤" descr="延伸知识&#10;尝试手动键入，在此处添加你自己的 AVERAGE 或 COUNT 函数。如果你仔细查看，会发现 Excel 的 intellisense 尝试帮助你。&#10;">
            <a:extLst>
              <a:ext uri="{FF2B5EF4-FFF2-40B4-BE49-F238E27FC236}">
                <a16:creationId xmlns:a16="http://schemas.microsoft.com/office/drawing/2014/main" id="{C7598491-5930-49C3-AC46-AC4F3207CA92}"/>
              </a:ext>
            </a:extLst>
          </xdr:cNvPr>
          <xdr:cNvSpPr txBox="1"/>
        </xdr:nvSpPr>
        <xdr:spPr>
          <a:xfrm>
            <a:off x="9648642" y="3905249"/>
            <a:ext cx="3236223"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p>
          <a:p>
            <a:pPr lvl="0" rtl="0">
              <a:defRPr/>
            </a:pPr>
            <a:r>
              <a:rPr lang="zh-cn" sz="1200">
                <a:latin typeface="Microsoft YaHei UI" panose="020B0503020204020204" pitchFamily="34" charset="-122"/>
                <a:ea typeface="Microsoft YaHei UI" panose="020B0503020204020204" pitchFamily="34" charset="-122"/>
              </a:rPr>
              <a:t>尝试</a:t>
            </a:r>
            <a:r>
              <a:rPr lang="zh-cn" sz="1200" b="0">
                <a:latin typeface="Microsoft YaHei UI" panose="020B0503020204020204" pitchFamily="34" charset="-122"/>
                <a:ea typeface="Microsoft YaHei UI" panose="020B0503020204020204" pitchFamily="34" charset="-122"/>
              </a:rPr>
              <a:t>在此处使用 </a:t>
            </a:r>
            <a:r>
              <a:rPr lang="zh-cn" sz="1200" b="1">
                <a:latin typeface="Microsoft YaHei UI" panose="020B0503020204020204" pitchFamily="34" charset="-122"/>
                <a:ea typeface="Microsoft YaHei UI" panose="020B0503020204020204" pitchFamily="34" charset="-122"/>
              </a:rPr>
              <a:t>MEDIAN</a:t>
            </a:r>
            <a:r>
              <a:rPr lang="zh-cn" sz="1200">
                <a:latin typeface="Microsoft YaHei UI" panose="020B0503020204020204" pitchFamily="34" charset="-122"/>
                <a:ea typeface="Microsoft YaHei UI" panose="020B0503020204020204" pitchFamily="34" charset="-122"/>
              </a:rPr>
              <a:t> 或 </a:t>
            </a:r>
            <a:r>
              <a:rPr lang="zh-cn" sz="1200" b="1">
                <a:latin typeface="Microsoft YaHei UI" panose="020B0503020204020204" pitchFamily="34" charset="-122"/>
                <a:ea typeface="Microsoft YaHei UI" panose="020B0503020204020204" pitchFamily="34" charset="-122"/>
              </a:rPr>
              <a:t>MODE</a:t>
            </a:r>
            <a:r>
              <a:rPr lang="zh-cn" sz="1200">
                <a:latin typeface="Microsoft YaHei UI" panose="020B0503020204020204" pitchFamily="34" charset="-122"/>
                <a:ea typeface="Microsoft YaHei UI" panose="020B0503020204020204" pitchFamily="34" charset="-122"/>
              </a:rPr>
              <a:t>。</a:t>
            </a:r>
            <a:r>
              <a:rPr lang="zh-cn" sz="1200" baseline="0">
                <a:latin typeface="Microsoft YaHei UI" panose="020B0503020204020204" pitchFamily="34" charset="-122"/>
                <a:ea typeface="Microsoft YaHei UI" panose="020B0503020204020204" pitchFamily="34" charset="-122"/>
              </a:rPr>
              <a:t> </a:t>
            </a:r>
          </a:p>
          <a:p>
            <a:pPr lvl="0" rtl="0">
              <a:defRPr/>
            </a:pPr>
            <a:endParaRPr lang="en-US" sz="1200" baseline="0">
              <a:latin typeface="Microsoft YaHei UI" panose="020B0503020204020204" pitchFamily="34" charset="-122"/>
              <a:ea typeface="Microsoft YaHei UI" panose="020B0503020204020204" pitchFamily="34" charset="-122"/>
            </a:endParaRPr>
          </a:p>
          <a:p>
            <a:pPr lvl="0" rtl="0">
              <a:defRPr/>
            </a:pPr>
            <a:r>
              <a:rPr lang="zh-cn" sz="1200" b="1" baseline="0">
                <a:latin typeface="Microsoft YaHei UI" panose="020B0503020204020204" pitchFamily="34" charset="-122"/>
                <a:ea typeface="Microsoft YaHei UI" panose="020B0503020204020204" pitchFamily="34" charset="-122"/>
              </a:rPr>
              <a:t>MEDIAN</a:t>
            </a:r>
            <a:r>
              <a:rPr lang="zh-cn" sz="1200" baseline="0">
                <a:latin typeface="Microsoft YaHei UI" panose="020B0503020204020204" pitchFamily="34" charset="-122"/>
                <a:ea typeface="Microsoft YaHei UI" panose="020B0503020204020204" pitchFamily="34" charset="-122"/>
              </a:rPr>
              <a:t> 为你提供数据集的中间值，而 </a:t>
            </a:r>
          </a:p>
          <a:p>
            <a:pPr lvl="0" rtl="0">
              <a:defRPr/>
            </a:pPr>
            <a:r>
              <a:rPr lang="zh-cn" sz="1200" b="1" baseline="0">
                <a:latin typeface="Microsoft YaHei UI" panose="020B0503020204020204" pitchFamily="34" charset="-122"/>
                <a:ea typeface="Microsoft YaHei UI" panose="020B0503020204020204" pitchFamily="34" charset="-122"/>
              </a:rPr>
              <a:t>MODE</a:t>
            </a:r>
            <a:r>
              <a:rPr lang="zh-cn" sz="1200" baseline="0">
                <a:latin typeface="Microsoft YaHei UI" panose="020B0503020204020204" pitchFamily="34" charset="-122"/>
                <a:ea typeface="Microsoft YaHei UI" panose="020B0503020204020204" pitchFamily="34" charset="-122"/>
              </a:rPr>
              <a:t> 为你提供最常出现的值。</a:t>
            </a:r>
            <a:endParaRPr lang="en-US" sz="1200">
              <a:latin typeface="Microsoft YaHei UI" panose="020B0503020204020204" pitchFamily="34" charset="-122"/>
              <a:ea typeface="Microsoft YaHei UI" panose="020B0503020204020204" pitchFamily="34" charset="-122"/>
            </a:endParaRPr>
          </a:p>
        </xdr:txBody>
      </xdr:sp>
      <xdr:pic>
        <xdr:nvPicPr>
          <xdr:cNvPr id="52" name="延伸知识功能区" descr="装饰功能区">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延伸知识箭头" descr="箭头">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下一步”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组 2">
          <a:extLst>
            <a:ext uri="{FF2B5EF4-FFF2-40B4-BE49-F238E27FC236}">
              <a16:creationId xmlns:a16="http://schemas.microsoft.com/office/drawing/2014/main" id="{34477964-9438-41C6-89D0-AF7334519BC2}"/>
            </a:ext>
          </a:extLst>
        </xdr:cNvPr>
        <xdr:cNvGrpSpPr/>
      </xdr:nvGrpSpPr>
      <xdr:grpSpPr>
        <a:xfrm>
          <a:off x="323850" y="3781426"/>
          <a:ext cx="5943600" cy="2457449"/>
          <a:chOff x="323850" y="3781426"/>
          <a:chExt cx="5695950" cy="2400299"/>
        </a:xfrm>
      </xdr:grpSpPr>
      <xdr:sp macro="" textlink="">
        <xdr:nvSpPr>
          <xdr:cNvPr id="62" name="矩形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63" name="步骤" descr="访问网页获取详细信息&#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64" name="直接连接符​​ 63" descr="装饰性线条">
            <a:extLst>
              <a:ext uri="{FF2B5EF4-FFF2-40B4-BE49-F238E27FC236}">
                <a16:creationId xmlns:a16="http://schemas.microsoft.com/office/drawing/2014/main" id="{78F5D1BC-989A-47DA-B5D1-2BEA7D8D2D8A}"/>
              </a:ext>
            </a:extLst>
          </xdr:cNvPr>
          <xdr:cNvCxnSpPr>
            <a:cxnSpLocks/>
          </xdr:cNvCxnSpPr>
        </xdr:nvCxnSpPr>
        <xdr:spPr>
          <a:xfrm>
            <a:off x="557084" y="4344421"/>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直接连接符​​ 64" descr="装饰性线条">
            <a:extLst>
              <a:ext uri="{FF2B5EF4-FFF2-40B4-BE49-F238E27FC236}">
                <a16:creationId xmlns:a16="http://schemas.microsoft.com/office/drawing/2014/main" id="{92AA8791-8905-41A1-9A28-1540446DB53D}"/>
              </a:ext>
            </a:extLst>
          </xdr:cNvPr>
          <xdr:cNvCxnSpPr>
            <a:cxnSpLocks/>
          </xdr:cNvCxnSpPr>
        </xdr:nvCxnSpPr>
        <xdr:spPr>
          <a:xfrm>
            <a:off x="557084" y="602505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20</xdr:row>
      <xdr:rowOff>64219</xdr:rowOff>
    </xdr:from>
    <xdr:to>
      <xdr:col>1</xdr:col>
      <xdr:colOff>2552700</xdr:colOff>
      <xdr:row>22</xdr:row>
      <xdr:rowOff>42298</xdr:rowOff>
    </xdr:to>
    <xdr:grpSp>
      <xdr:nvGrpSpPr>
        <xdr:cNvPr id="4" name="组 3">
          <a:extLst>
            <a:ext uri="{FF2B5EF4-FFF2-40B4-BE49-F238E27FC236}">
              <a16:creationId xmlns:a16="http://schemas.microsoft.com/office/drawing/2014/main" id="{2A2F1EF0-54C4-4E96-96D9-0F415372CF05}"/>
            </a:ext>
          </a:extLst>
        </xdr:cNvPr>
        <xdr:cNvGrpSpPr/>
      </xdr:nvGrpSpPr>
      <xdr:grpSpPr>
        <a:xfrm>
          <a:off x="533831" y="4445719"/>
          <a:ext cx="3114244" cy="359079"/>
          <a:chOff x="533831" y="4331419"/>
          <a:chExt cx="2866594" cy="359079"/>
        </a:xfrm>
      </xdr:grpSpPr>
      <xdr:sp macro="" textlink="">
        <xdr:nvSpPr>
          <xdr:cNvPr id="66" name="步骤" descr="有关 AVERAGE 函数的全部内容，超链接到网页&#10;&#10;">
            <a:hlinkClick xmlns:r="http://schemas.openxmlformats.org/officeDocument/2006/relationships" r:id="rId5" tooltip="选择此处，从网页上了解有关 AVERAGE 函数的全部内容"/>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7"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22</xdr:row>
      <xdr:rowOff>57660</xdr:rowOff>
    </xdr:from>
    <xdr:to>
      <xdr:col>1</xdr:col>
      <xdr:colOff>2581275</xdr:colOff>
      <xdr:row>24</xdr:row>
      <xdr:rowOff>41049</xdr:rowOff>
    </xdr:to>
    <xdr:grpSp>
      <xdr:nvGrpSpPr>
        <xdr:cNvPr id="5" name="组 4">
          <a:extLst>
            <a:ext uri="{FF2B5EF4-FFF2-40B4-BE49-F238E27FC236}">
              <a16:creationId xmlns:a16="http://schemas.microsoft.com/office/drawing/2014/main" id="{8070DC97-C65B-4D56-B70E-5A742EA38D3C}"/>
            </a:ext>
          </a:extLst>
        </xdr:cNvPr>
        <xdr:cNvGrpSpPr/>
      </xdr:nvGrpSpPr>
      <xdr:grpSpPr>
        <a:xfrm>
          <a:off x="533831" y="4820160"/>
          <a:ext cx="3142819" cy="364389"/>
          <a:chOff x="533831" y="4705860"/>
          <a:chExt cx="2895169" cy="364389"/>
        </a:xfrm>
      </xdr:grpSpPr>
      <xdr:sp macro="" textlink="">
        <xdr:nvSpPr>
          <xdr:cNvPr id="68" name="步骤" descr="有关 COUNT 函数的全部内容，超链接到网页&#10;">
            <a:hlinkClick xmlns:r="http://schemas.openxmlformats.org/officeDocument/2006/relationships" r:id="rId8" tooltip="选择此处，从网页上了解有关 MEDIAN 函数的全部内容"/>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MEDIAN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9"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24</xdr:row>
      <xdr:rowOff>71323</xdr:rowOff>
    </xdr:from>
    <xdr:to>
      <xdr:col>1</xdr:col>
      <xdr:colOff>2155460</xdr:colOff>
      <xdr:row>26</xdr:row>
      <xdr:rowOff>49402</xdr:rowOff>
    </xdr:to>
    <xdr:grpSp>
      <xdr:nvGrpSpPr>
        <xdr:cNvPr id="6" name="组 5">
          <a:extLst>
            <a:ext uri="{FF2B5EF4-FFF2-40B4-BE49-F238E27FC236}">
              <a16:creationId xmlns:a16="http://schemas.microsoft.com/office/drawing/2014/main" id="{3CA2605E-542A-4852-9719-D7B97D165AA8}"/>
            </a:ext>
          </a:extLst>
        </xdr:cNvPr>
        <xdr:cNvGrpSpPr/>
      </xdr:nvGrpSpPr>
      <xdr:grpSpPr>
        <a:xfrm>
          <a:off x="533831" y="5214823"/>
          <a:ext cx="2717004" cy="359079"/>
          <a:chOff x="533831" y="5100523"/>
          <a:chExt cx="2469354" cy="359079"/>
        </a:xfrm>
      </xdr:grpSpPr>
      <xdr:sp macro="" textlink="">
        <xdr:nvSpPr>
          <xdr:cNvPr id="70" name="步骤" descr="使用 Excel 作为计算器，超链接到网页&#10;">
            <a:hlinkClick xmlns:r="http://schemas.openxmlformats.org/officeDocument/2006/relationships" r:id="rId9" tooltip="选择此处，从网页上了解有关 MODE 函数的全部内容"/>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MODE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71" name="图形 70" descr="箭头">
            <a:hlinkClick xmlns:r="http://schemas.openxmlformats.org/officeDocument/2006/relationships" r:id="rId9" tooltip="选择此处，从网页上了解详细信息"/>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26</xdr:row>
      <xdr:rowOff>79678</xdr:rowOff>
    </xdr:from>
    <xdr:to>
      <xdr:col>1</xdr:col>
      <xdr:colOff>2202742</xdr:colOff>
      <xdr:row>28</xdr:row>
      <xdr:rowOff>34492</xdr:rowOff>
    </xdr:to>
    <xdr:grpSp>
      <xdr:nvGrpSpPr>
        <xdr:cNvPr id="7" name="组 6">
          <a:extLst>
            <a:ext uri="{FF2B5EF4-FFF2-40B4-BE49-F238E27FC236}">
              <a16:creationId xmlns:a16="http://schemas.microsoft.com/office/drawing/2014/main" id="{73707755-F600-4512-81C1-EB2BE159BA8A}"/>
            </a:ext>
          </a:extLst>
        </xdr:cNvPr>
        <xdr:cNvGrpSpPr/>
      </xdr:nvGrpSpPr>
      <xdr:grpSpPr>
        <a:xfrm>
          <a:off x="546440" y="5604178"/>
          <a:ext cx="2751677" cy="392964"/>
          <a:chOff x="546440" y="5489878"/>
          <a:chExt cx="2504027" cy="364389"/>
        </a:xfrm>
      </xdr:grpSpPr>
      <xdr:sp macro="" textlink="">
        <xdr:nvSpPr>
          <xdr:cNvPr id="72" name="步骤" descr="免费 Excel 在线培训，超链接到网页&#10;">
            <a:hlinkClick xmlns:r="http://schemas.openxmlformats.org/officeDocument/2006/relationships" r:id="rId10" tooltip="选择此处，从网页上了解免费 Excel 培训"/>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73" name="图形 22" descr="箭头">
            <a:hlinkClick xmlns:r="http://schemas.openxmlformats.org/officeDocument/2006/relationships" r:id="rId10" tooltip="选择此处，从网页上了解详细信息"/>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8" name="组合 1">
          <a:extLst>
            <a:ext uri="{FF2B5EF4-FFF2-40B4-BE49-F238E27FC236}">
              <a16:creationId xmlns:a16="http://schemas.microsoft.com/office/drawing/2014/main" id="{609B4CA3-744F-4575-A6F0-C9A0A8A9D8B0}"/>
            </a:ext>
          </a:extLst>
        </xdr:cNvPr>
        <xdr:cNvGrpSpPr/>
      </xdr:nvGrpSpPr>
      <xdr:grpSpPr>
        <a:xfrm>
          <a:off x="333375" y="352425"/>
          <a:ext cx="5924550" cy="3314700"/>
          <a:chOff x="333375" y="352425"/>
          <a:chExt cx="5924550" cy="3314700"/>
        </a:xfrm>
      </xdr:grpSpPr>
      <xdr:sp macro="" textlink="">
        <xdr:nvSpPr>
          <xdr:cNvPr id="54" name="背景" descr="背景">
            <a:extLst>
              <a:ext uri="{FF2B5EF4-FFF2-40B4-BE49-F238E27FC236}">
                <a16:creationId xmlns:a16="http://schemas.microsoft.com/office/drawing/2014/main" id="{946CF461-EAD5-42C2-9617-11F5AB31034E}"/>
              </a:ext>
            </a:extLst>
          </xdr:cNvPr>
          <xdr:cNvSpPr/>
        </xdr:nvSpPr>
        <xdr:spPr>
          <a:xfrm>
            <a:off x="333375" y="352425"/>
            <a:ext cx="592455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55" name="底部线条" descr="装饰性线条">
            <a:extLst>
              <a:ext uri="{FF2B5EF4-FFF2-40B4-BE49-F238E27FC236}">
                <a16:creationId xmlns:a16="http://schemas.microsoft.com/office/drawing/2014/main" id="{19CE13EE-832F-4DD0-B1BF-1804BA768D33}"/>
              </a:ext>
            </a:extLst>
          </xdr:cNvPr>
          <xdr:cNvCxnSpPr>
            <a:cxnSpLocks/>
          </xdr:cNvCxnSpPr>
        </xdr:nvCxnSpPr>
        <xdr:spPr>
          <a:xfrm>
            <a:off x="571947" y="872785"/>
            <a:ext cx="542260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步骤" descr="AVERAGE 和 COUNT 函数">
            <a:extLst>
              <a:ext uri="{FF2B5EF4-FFF2-40B4-BE49-F238E27FC236}">
                <a16:creationId xmlns:a16="http://schemas.microsoft.com/office/drawing/2014/main" id="{0EC26865-CBCE-4A2A-ABDC-3A3BD17755CC}"/>
              </a:ext>
            </a:extLst>
          </xdr:cNvPr>
          <xdr:cNvSpPr txBox="1"/>
        </xdr:nvSpPr>
        <xdr:spPr>
          <a:xfrm>
            <a:off x="571947" y="412054"/>
            <a:ext cx="4729230"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AVERAGE 函数</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sp macro="" textlink="">
        <xdr:nvSpPr>
          <xdr:cNvPr id="60" name="添加数字简介" descr="使用 AVERAGE 函数，可获取某区域单元格中数字的平均值。&#10;使用 COUNT 函数，可获取其中具有值的单元格的计数。值可以是数字或文本。&#10;">
            <a:extLst>
              <a:ext uri="{FF2B5EF4-FFF2-40B4-BE49-F238E27FC236}">
                <a16:creationId xmlns:a16="http://schemas.microsoft.com/office/drawing/2014/main" id="{222C44FC-97C1-4A45-8398-B2E0A188AD11}"/>
              </a:ext>
            </a:extLst>
          </xdr:cNvPr>
          <xdr:cNvSpPr txBox="1"/>
        </xdr:nvSpPr>
        <xdr:spPr>
          <a:xfrm>
            <a:off x="562007" y="895349"/>
            <a:ext cx="5532187"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 函数，可获取某区域单元格中数字的平均值。</a:t>
            </a:r>
          </a:p>
        </xdr:txBody>
      </xdr:sp>
      <xdr:cxnSp macro="">
        <xdr:nvCxnSpPr>
          <xdr:cNvPr id="74" name="直接连接符​​ 73" descr="装饰性线条">
            <a:extLst>
              <a:ext uri="{FF2B5EF4-FFF2-40B4-BE49-F238E27FC236}">
                <a16:creationId xmlns:a16="http://schemas.microsoft.com/office/drawing/2014/main" id="{EB69A890-AAA0-4D33-8A35-FC1FB4FFC831}"/>
              </a:ext>
            </a:extLst>
          </xdr:cNvPr>
          <xdr:cNvCxnSpPr>
            <a:cxnSpLocks/>
          </xdr:cNvCxnSpPr>
        </xdr:nvCxnSpPr>
        <xdr:spPr>
          <a:xfrm>
            <a:off x="571947" y="3028950"/>
            <a:ext cx="544443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组_步骤">
            <a:extLst>
              <a:ext uri="{FF2B5EF4-FFF2-40B4-BE49-F238E27FC236}">
                <a16:creationId xmlns:a16="http://schemas.microsoft.com/office/drawing/2014/main" id="{337393F7-B1CB-40BB-9DB6-BE20F8463B0C}"/>
              </a:ext>
            </a:extLst>
          </xdr:cNvPr>
          <xdr:cNvGrpSpPr/>
        </xdr:nvGrpSpPr>
        <xdr:grpSpPr>
          <a:xfrm>
            <a:off x="552072" y="1228725"/>
            <a:ext cx="5465375" cy="593022"/>
            <a:chOff x="263059" y="1752333"/>
            <a:chExt cx="5245171" cy="603875"/>
          </a:xfrm>
        </xdr:grpSpPr>
        <xdr:sp macro="" textlink="">
          <xdr:nvSpPr>
            <xdr:cNvPr id="76" name="步骤" descr="单击单元格 D7，然后使用“自动求和”向导添加 AVERAGE 函数。&#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78" name="组_步骤">
            <a:extLst>
              <a:ext uri="{FF2B5EF4-FFF2-40B4-BE49-F238E27FC236}">
                <a16:creationId xmlns:a16="http://schemas.microsoft.com/office/drawing/2014/main" id="{09C24E64-BB63-463B-8648-CD8E2595E290}"/>
              </a:ext>
            </a:extLst>
          </xdr:cNvPr>
          <xdr:cNvGrpSpPr/>
        </xdr:nvGrpSpPr>
        <xdr:grpSpPr>
          <a:xfrm>
            <a:off x="542131" y="1785947"/>
            <a:ext cx="5475316" cy="554930"/>
            <a:chOff x="145889" y="1003336"/>
            <a:chExt cx="5254711" cy="565086"/>
          </a:xfrm>
        </xdr:grpSpPr>
        <xdr:sp macro="" textlink="">
          <xdr:nvSpPr>
            <xdr:cNvPr id="79" name="步骤" descr="现在，单击单元格 G7，然后通过手动键入 =COUNT(D3:D6) 输入 COUNT 函数。&#10;">
              <a:extLst>
                <a:ext uri="{FF2B5EF4-FFF2-40B4-BE49-F238E27FC236}">
                  <a16:creationId xmlns:a16="http://schemas.microsoft.com/office/drawing/2014/main" id="{2BDCA942-D2F9-4CA9-AA98-7ADE8728D2B6}"/>
                </a:ext>
              </a:extLst>
            </xdr:cNvPr>
            <xdr:cNvSpPr txBox="1"/>
          </xdr:nvSpPr>
          <xdr:spPr>
            <a:xfrm>
              <a:off x="591084" y="1007035"/>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AVERAGE(G3:G6)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1" name="组_步骤">
            <a:extLst>
              <a:ext uri="{FF2B5EF4-FFF2-40B4-BE49-F238E27FC236}">
                <a16:creationId xmlns:a16="http://schemas.microsoft.com/office/drawing/2014/main" id="{AA044558-54FF-4FC4-BA5E-52BCE7820723}"/>
              </a:ext>
            </a:extLst>
          </xdr:cNvPr>
          <xdr:cNvGrpSpPr/>
        </xdr:nvGrpSpPr>
        <xdr:grpSpPr>
          <a:xfrm>
            <a:off x="542126" y="2395530"/>
            <a:ext cx="5524200" cy="596207"/>
            <a:chOff x="146717" y="1003336"/>
            <a:chExt cx="5250416" cy="603885"/>
          </a:xfrm>
        </xdr:grpSpPr>
        <xdr:sp macro="" textlink="">
          <xdr:nvSpPr>
            <xdr:cNvPr id="82" name="步骤" descr="在单元格 D15 中，可以使用自动求和向导或手动键入来输入 AVERAGE 或 COUNT 函数。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”，或键入来输入另一个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AVERAGE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上一个工作表按钮" descr="返回到上一个工作表">
          <a:hlinkClick xmlns:r="http://schemas.openxmlformats.org/officeDocument/2006/relationships" r:id="rId11" tooltip="单击此处可返回到上一个工作表"/>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absoluteAnchor>
  <xdr:absoluteAnchor>
    <xdr:pos x="4494261" y="3181350"/>
    <xdr:ext cx="1275170" cy="335449"/>
    <xdr:sp macro="" textlink="">
      <xdr:nvSpPr>
        <xdr:cNvPr id="41" name="“下一步”按钮" descr="前进到下一个工作表">
          <a:hlinkClick xmlns:r="http://schemas.openxmlformats.org/officeDocument/2006/relationships" r:id="rId12" tooltip="单击此处可转到下一个工作表"/>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absoluteAnchor>
  <xdr:twoCellAnchor editAs="absolute">
    <xdr:from>
      <xdr:col>7</xdr:col>
      <xdr:colOff>0</xdr:colOff>
      <xdr:row>1</xdr:row>
      <xdr:rowOff>95250</xdr:rowOff>
    </xdr:from>
    <xdr:to>
      <xdr:col>10</xdr:col>
      <xdr:colOff>419100</xdr:colOff>
      <xdr:row>8</xdr:row>
      <xdr:rowOff>171451</xdr:rowOff>
    </xdr:to>
    <xdr:grpSp>
      <xdr:nvGrpSpPr>
        <xdr:cNvPr id="42" name="看看这个" descr="看看这个&#10;&#10;">
          <a:extLst>
            <a:ext uri="{FF2B5EF4-FFF2-40B4-BE49-F238E27FC236}">
              <a16:creationId xmlns:a16="http://schemas.microsoft.com/office/drawing/2014/main" id="{4F2C83E2-CCF8-46E7-9C89-FEAB092ACF14}"/>
            </a:ext>
          </a:extLst>
        </xdr:cNvPr>
        <xdr:cNvGrpSpPr/>
      </xdr:nvGrpSpPr>
      <xdr:grpSpPr>
        <a:xfrm>
          <a:off x="11601450" y="857250"/>
          <a:ext cx="2705100" cy="1409701"/>
          <a:chOff x="7539454" y="7993902"/>
          <a:chExt cx="2704968" cy="1409701"/>
        </a:xfrm>
      </xdr:grpSpPr>
      <xdr:grpSp>
        <xdr:nvGrpSpPr>
          <xdr:cNvPr id="43" name="括号线">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另一条括号线" descr="括号线">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47" name="括号线" descr="括号线&#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44" name="星星" descr="星星">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830674" y="8038700"/>
            <a:ext cx="388098" cy="337815"/>
          </a:xfrm>
          <a:prstGeom prst="rect">
            <a:avLst/>
          </a:prstGeom>
        </xdr:spPr>
      </xdr:pic>
      <xdr:sp macro="" textlink="">
        <xdr:nvSpPr>
          <xdr:cNvPr id="45" name="说明" descr="看看这个&#10;选择任意范围内的数字，然后查看状态栏获取即时平均值。&#10;">
            <a:extLst>
              <a:ext uri="{FF2B5EF4-FFF2-40B4-BE49-F238E27FC236}">
                <a16:creationId xmlns:a16="http://schemas.microsoft.com/office/drawing/2014/main" id="{D8493739-C1B9-4EAD-A94C-3DF50BC1811C}"/>
              </a:ext>
            </a:extLst>
          </xdr:cNvPr>
          <xdr:cNvSpPr txBox="1"/>
        </xdr:nvSpPr>
        <xdr:spPr>
          <a:xfrm>
            <a:off x="8132529" y="7993902"/>
            <a:ext cx="21118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选择任意范围内的数字</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，然后查看状态栏获取即时平均值。</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底部线条" descr="装饰性线条">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背景" descr="背景">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步骤" descr="MIN 和 MAX 函数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MIN 和 MAX 函数 </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底部线条" descr="装饰性线条">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组_步骤">
          <a:extLst>
            <a:ext uri="{FF2B5EF4-FFF2-40B4-BE49-F238E27FC236}">
              <a16:creationId xmlns:a16="http://schemas.microsoft.com/office/drawing/2014/main" id="{ACD1828C-DCA0-413C-9B03-AC8C886B868F}"/>
            </a:ext>
          </a:extLst>
        </xdr:cNvPr>
        <xdr:cNvGrpSpPr/>
      </xdr:nvGrpSpPr>
      <xdr:grpSpPr>
        <a:xfrm>
          <a:off x="571505" y="1443044"/>
          <a:ext cx="5465512" cy="593022"/>
          <a:chOff x="425239" y="1752333"/>
          <a:chExt cx="5226084" cy="603875"/>
        </a:xfrm>
      </xdr:grpSpPr>
      <xdr:sp macro="" textlink="">
        <xdr:nvSpPr>
          <xdr:cNvPr id="24" name="步骤" descr="选择单元格 D7，然后使用“自动求和”向导添加 MIN 函数。&#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D7，然后使用“自动求和”向导添加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组_步骤">
          <a:extLst>
            <a:ext uri="{FF2B5EF4-FFF2-40B4-BE49-F238E27FC236}">
              <a16:creationId xmlns:a16="http://schemas.microsoft.com/office/drawing/2014/main" id="{C6DE3E57-FFF3-4FAC-B4DB-48087863CEA8}"/>
            </a:ext>
          </a:extLst>
        </xdr:cNvPr>
        <xdr:cNvGrpSpPr/>
      </xdr:nvGrpSpPr>
      <xdr:grpSpPr>
        <a:xfrm>
          <a:off x="561980" y="1962164"/>
          <a:ext cx="5465518" cy="554931"/>
          <a:chOff x="308069" y="1003336"/>
          <a:chExt cx="5226090" cy="565088"/>
        </a:xfrm>
      </xdr:grpSpPr>
      <xdr:sp macro="" textlink="">
        <xdr:nvSpPr>
          <xdr:cNvPr id="22" name="步骤" descr="现在，选择单元格 G7，然后通过键入 =MAX(D3:D6) 输入 MAX 函数。&#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=MAX(D3:D6)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添加数字简介" descr="使用 MIN 函数获取单元格区域内的最小数字。&#10;使用 MAX 函数获取单元格区域内的最大数字。&#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函数获取单元格区域内的最小数字。</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函数获取单元格区域内的最大数字。</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组_步骤">
          <a:extLst>
            <a:ext uri="{FF2B5EF4-FFF2-40B4-BE49-F238E27FC236}">
              <a16:creationId xmlns:a16="http://schemas.microsoft.com/office/drawing/2014/main" id="{E19A8549-EA85-41D7-8F76-919D997AC5D5}"/>
            </a:ext>
          </a:extLst>
        </xdr:cNvPr>
        <xdr:cNvGrpSpPr/>
      </xdr:nvGrpSpPr>
      <xdr:grpSpPr>
        <a:xfrm>
          <a:off x="561975" y="2476499"/>
          <a:ext cx="5516317" cy="596207"/>
          <a:chOff x="307333" y="1003336"/>
          <a:chExt cx="5225997" cy="603885"/>
        </a:xfrm>
      </xdr:grpSpPr>
      <xdr:sp macro="" textlink="">
        <xdr:nvSpPr>
          <xdr:cNvPr id="20" name="步骤" descr="在单元格 D15 中，可以使用自动求和向导或键入来输入 MIN 或 MAX 函数。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中，可以使用自动求和向导或键入来输入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组 2">
          <a:extLst>
            <a:ext uri="{FF2B5EF4-FFF2-40B4-BE49-F238E27FC236}">
              <a16:creationId xmlns:a16="http://schemas.microsoft.com/office/drawing/2014/main" id="{93BD323D-B807-4DC9-82D1-2419D0592459}"/>
            </a:ext>
          </a:extLst>
        </xdr:cNvPr>
        <xdr:cNvGrpSpPr/>
      </xdr:nvGrpSpPr>
      <xdr:grpSpPr>
        <a:xfrm>
          <a:off x="361950" y="3829051"/>
          <a:ext cx="5943600" cy="2105025"/>
          <a:chOff x="361950" y="4257676"/>
          <a:chExt cx="5695950" cy="2076450"/>
        </a:xfrm>
      </xdr:grpSpPr>
      <xdr:sp macro="" textlink="">
        <xdr:nvSpPr>
          <xdr:cNvPr id="27" name="矩形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28" name="步骤" descr="访问网页获取详细信息&#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29" name="直接连接符​​ 28" descr="装饰性线条">
            <a:extLst>
              <a:ext uri="{FF2B5EF4-FFF2-40B4-BE49-F238E27FC236}">
                <a16:creationId xmlns:a16="http://schemas.microsoft.com/office/drawing/2014/main" id="{B3104255-0CEA-4FDA-A658-47296C06C36F}"/>
              </a:ext>
            </a:extLst>
          </xdr:cNvPr>
          <xdr:cNvCxnSpPr>
            <a:cxnSpLocks/>
          </xdr:cNvCxnSpPr>
        </xdr:nvCxnSpPr>
        <xdr:spPr>
          <a:xfrm>
            <a:off x="553932" y="48592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接连接符​​ 29" descr="装饰性线条">
            <a:extLst>
              <a:ext uri="{FF2B5EF4-FFF2-40B4-BE49-F238E27FC236}">
                <a16:creationId xmlns:a16="http://schemas.microsoft.com/office/drawing/2014/main" id="{49D6338B-887A-470A-8EFD-F86CF786FD84}"/>
              </a:ext>
            </a:extLst>
          </xdr:cNvPr>
          <xdr:cNvCxnSpPr>
            <a:cxnSpLocks/>
          </xdr:cNvCxnSpPr>
        </xdr:nvCxnSpPr>
        <xdr:spPr>
          <a:xfrm>
            <a:off x="553932" y="6149044"/>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83269</xdr:rowOff>
    </xdr:from>
    <xdr:to>
      <xdr:col>1</xdr:col>
      <xdr:colOff>2590800</xdr:colOff>
      <xdr:row>22</xdr:row>
      <xdr:rowOff>61348</xdr:rowOff>
    </xdr:to>
    <xdr:grpSp>
      <xdr:nvGrpSpPr>
        <xdr:cNvPr id="6" name="组 5">
          <a:extLst>
            <a:ext uri="{FF2B5EF4-FFF2-40B4-BE49-F238E27FC236}">
              <a16:creationId xmlns:a16="http://schemas.microsoft.com/office/drawing/2014/main" id="{FFCA9288-014C-4486-980E-27B20766EED2}"/>
            </a:ext>
          </a:extLst>
        </xdr:cNvPr>
        <xdr:cNvGrpSpPr/>
      </xdr:nvGrpSpPr>
      <xdr:grpSpPr>
        <a:xfrm>
          <a:off x="571931" y="4464769"/>
          <a:ext cx="3114244" cy="359079"/>
          <a:chOff x="571931" y="4826719"/>
          <a:chExt cx="2866594" cy="359079"/>
        </a:xfrm>
      </xdr:grpSpPr>
      <xdr:sp macro="" textlink="">
        <xdr:nvSpPr>
          <xdr:cNvPr id="31" name="步骤" descr="有关 MIN 函数的全部内容，超链接到网页&#10;&#10;">
            <a:hlinkClick xmlns:r="http://schemas.openxmlformats.org/officeDocument/2006/relationships" r:id="rId1" tooltip="选择此处，从网页上了解有关 MIN 函数的全部内容"/>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2" name="图形 22" descr="箭头">
            <a:hlinkClick xmlns:r="http://schemas.openxmlformats.org/officeDocument/2006/relationships" r:id="rId1" tooltip="选择此处，从网页上了解详细信息"/>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69196</xdr:rowOff>
    </xdr:from>
    <xdr:to>
      <xdr:col>1</xdr:col>
      <xdr:colOff>2619375</xdr:colOff>
      <xdr:row>24</xdr:row>
      <xdr:rowOff>52585</xdr:rowOff>
    </xdr:to>
    <xdr:grpSp>
      <xdr:nvGrpSpPr>
        <xdr:cNvPr id="5" name="组 4">
          <a:extLst>
            <a:ext uri="{FF2B5EF4-FFF2-40B4-BE49-F238E27FC236}">
              <a16:creationId xmlns:a16="http://schemas.microsoft.com/office/drawing/2014/main" id="{432B9DC1-07CB-4CB5-9408-142776FE3CE6}"/>
            </a:ext>
          </a:extLst>
        </xdr:cNvPr>
        <xdr:cNvGrpSpPr/>
      </xdr:nvGrpSpPr>
      <xdr:grpSpPr>
        <a:xfrm>
          <a:off x="571931" y="4831696"/>
          <a:ext cx="3142819" cy="364389"/>
          <a:chOff x="571931" y="5193646"/>
          <a:chExt cx="2895169" cy="364389"/>
        </a:xfrm>
      </xdr:grpSpPr>
      <xdr:sp macro="" textlink="">
        <xdr:nvSpPr>
          <xdr:cNvPr id="33" name="步骤" descr="有关 MAX 函数的全部内容，超链接到网页&#10;">
            <a:hlinkClick xmlns:r="http://schemas.openxmlformats.org/officeDocument/2006/relationships" r:id="rId4" tooltip="选择此处，从网页上了解有关 MAX 函数的全部内容"/>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4" name="图形 22" descr="箭头">
            <a:hlinkClick xmlns:r="http://schemas.openxmlformats.org/officeDocument/2006/relationships" r:id="rId4" tooltip="选择此处，从网页上了解详细信息"/>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108253</xdr:rowOff>
    </xdr:from>
    <xdr:to>
      <xdr:col>1</xdr:col>
      <xdr:colOff>2240842</xdr:colOff>
      <xdr:row>26</xdr:row>
      <xdr:rowOff>91642</xdr:rowOff>
    </xdr:to>
    <xdr:grpSp>
      <xdr:nvGrpSpPr>
        <xdr:cNvPr id="4" name="组 3">
          <a:extLst>
            <a:ext uri="{FF2B5EF4-FFF2-40B4-BE49-F238E27FC236}">
              <a16:creationId xmlns:a16="http://schemas.microsoft.com/office/drawing/2014/main" id="{742226DB-497C-49F5-B244-A06F92B322A2}"/>
            </a:ext>
          </a:extLst>
        </xdr:cNvPr>
        <xdr:cNvGrpSpPr/>
      </xdr:nvGrpSpPr>
      <xdr:grpSpPr>
        <a:xfrm>
          <a:off x="584540" y="5251753"/>
          <a:ext cx="2751677" cy="392964"/>
          <a:chOff x="584540" y="5613703"/>
          <a:chExt cx="2504027" cy="364389"/>
        </a:xfrm>
      </xdr:grpSpPr>
      <xdr:sp macro="" textlink="">
        <xdr:nvSpPr>
          <xdr:cNvPr id="37" name="步骤" descr="免费 Excel 在线培训，超链接到网页&#10;">
            <a:hlinkClick xmlns:r="http://schemas.openxmlformats.org/officeDocument/2006/relationships" r:id="rId5" tooltip="选择此处，从网页上了解免费 Excel 培训"/>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38"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3</xdr:col>
      <xdr:colOff>180975</xdr:colOff>
      <xdr:row>15</xdr:row>
      <xdr:rowOff>21543</xdr:rowOff>
    </xdr:from>
    <xdr:to>
      <xdr:col>6</xdr:col>
      <xdr:colOff>904875</xdr:colOff>
      <xdr:row>25</xdr:row>
      <xdr:rowOff>96701</xdr:rowOff>
    </xdr:to>
    <xdr:grpSp>
      <xdr:nvGrpSpPr>
        <xdr:cNvPr id="39" name="扩展知识" descr="扩展知识&#10;&#10;">
          <a:extLst>
            <a:ext uri="{FF2B5EF4-FFF2-40B4-BE49-F238E27FC236}">
              <a16:creationId xmlns:a16="http://schemas.microsoft.com/office/drawing/2014/main" id="{1617705E-A557-408B-AB54-5DBE8291A7F8}"/>
            </a:ext>
          </a:extLst>
        </xdr:cNvPr>
        <xdr:cNvGrpSpPr/>
      </xdr:nvGrpSpPr>
      <xdr:grpSpPr>
        <a:xfrm>
          <a:off x="8486775" y="3450543"/>
          <a:ext cx="3209925" cy="1980158"/>
          <a:chOff x="6778625" y="15389083"/>
          <a:chExt cx="3312054" cy="1901967"/>
        </a:xfrm>
      </xdr:grpSpPr>
      <xdr:sp macro="" textlink="">
        <xdr:nvSpPr>
          <xdr:cNvPr id="40" name="步骤" descr="扩展知识&#10;可以对多个区域或值使用 MIN 或 MAX，以显示比这些值大或小的值，例如 =MIN(A1:A10,B1:B10) 或 =MAX(A1:A10,B1)，其中 B1 包含一个阈值（如 10），在这种情况下，公式不会返回小于 10 的结果。&#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可以对多个区域或值使用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MIN</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MAX</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，以显示比这些值大或小的值，例如 =MIN(A1:A10,B1:B10) 或 =MAX(A1:A10,B1)，其中 B1 包含一个阈值（如 10），在这种情况下，公式不会返回小于 10 的结果。</a:t>
            </a:r>
            <a:endParaRPr lang="en-US" sz="1100">
              <a:effectLst/>
              <a:latin typeface="Microsoft YaHei UI" panose="020B0503020204020204" pitchFamily="34" charset="-122"/>
              <a:ea typeface="Microsoft YaHei UI" panose="020B0503020204020204" pitchFamily="34" charset="-122"/>
            </a:endParaRPr>
          </a:p>
        </xdr:txBody>
      </xdr:sp>
      <xdr:pic>
        <xdr:nvPicPr>
          <xdr:cNvPr id="41" name="图形 147" descr="眼镜">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任意多边形：形状 41" descr="箭头">
            <a:extLst>
              <a:ext uri="{FF2B5EF4-FFF2-40B4-BE49-F238E27FC236}">
                <a16:creationId xmlns:a16="http://schemas.microsoft.com/office/drawing/2014/main" id="{BD5A064F-A80A-499D-92F8-64D2BEDF69F1}"/>
              </a:ext>
            </a:extLst>
          </xdr:cNvPr>
          <xdr:cNvSpPr/>
        </xdr:nvSpPr>
        <xdr:spPr>
          <a:xfrm rot="5953034" flipV="1">
            <a:off x="8661976" y="14619676"/>
            <a:ext cx="410862" cy="1949675"/>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absoluteAnchor>
    <xdr:pos x="561975" y="3267075"/>
    <xdr:ext cx="1275170" cy="335449"/>
    <xdr:sp macro="" textlink="">
      <xdr:nvSpPr>
        <xdr:cNvPr id="43" name="上一个工作表按钮" descr="返回到上一个工作表">
          <a:hlinkClick xmlns:r="http://schemas.openxmlformats.org/officeDocument/2006/relationships" r:id="rId8" tooltip="单击此处可返回到上一个工作表"/>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absoluteAnchor>
  <xdr:absoluteAnchor>
    <xdr:pos x="4484736" y="3267075"/>
    <xdr:ext cx="1275170" cy="335449"/>
    <xdr:sp macro="" textlink="">
      <xdr:nvSpPr>
        <xdr:cNvPr id="44" name="“下一步”按钮" descr="前进到下一个工作表">
          <a:hlinkClick xmlns:r="http://schemas.openxmlformats.org/officeDocument/2006/relationships" r:id="rId9" tooltip="单击此处可转到下一个工作表"/>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底部线条" descr="装饰性线条">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95250</xdr:colOff>
      <xdr:row>11</xdr:row>
      <xdr:rowOff>78337</xdr:rowOff>
    </xdr:from>
    <xdr:ext cx="3648075" cy="1921909"/>
    <xdr:grpSp>
      <xdr:nvGrpSpPr>
        <xdr:cNvPr id="110" name="扩展知识" descr="扩展知识&#10;Excel 根据从 1900 年 1 月 1 日开始的天数来记录日期和时间。时间以分钟为单位记录在一天的小数部分里。&#10;&#10;因此 2017/01/01 中午 12:30 实际存储为 42736.5208。&#10;&#10;">
          <a:extLst>
            <a:ext uri="{FF2B5EF4-FFF2-40B4-BE49-F238E27FC236}">
              <a16:creationId xmlns:a16="http://schemas.microsoft.com/office/drawing/2014/main" id="{5FD1EED7-BA78-459D-8631-C577BE6708FF}"/>
            </a:ext>
          </a:extLst>
        </xdr:cNvPr>
        <xdr:cNvGrpSpPr/>
      </xdr:nvGrpSpPr>
      <xdr:grpSpPr>
        <a:xfrm>
          <a:off x="6829425" y="3078712"/>
          <a:ext cx="3648075" cy="1921909"/>
          <a:chOff x="6778625" y="15425336"/>
          <a:chExt cx="3477574" cy="1846018"/>
        </a:xfrm>
      </xdr:grpSpPr>
      <xdr:sp macro="" textlink="">
        <xdr:nvSpPr>
          <xdr:cNvPr id="111" name="步骤" descr="扩展知识&#10;Excel 根据从 1900 年 1 月 1 日开始的天数来记录日期和时间。时间以分钟为单位记录在一天的小数部分里。因此 2017/01/01 中午 12:30 实际存储为 42736.5208。如果时间或日期显示为类似的数字，可按“Ctrl+1”&gt;“数字”&gt;选择“日期”或“时间”格式。 &#10;&#10;">
            <a:extLst>
              <a:ext uri="{FF2B5EF4-FFF2-40B4-BE49-F238E27FC236}">
                <a16:creationId xmlns:a16="http://schemas.microsoft.com/office/drawing/2014/main" id="{7BF2997B-A0C3-4169-8E09-CA4590DE712A}"/>
              </a:ext>
            </a:extLst>
          </xdr:cNvPr>
          <xdr:cNvSpPr txBox="1"/>
        </xdr:nvSpPr>
        <xdr:spPr>
          <a:xfrm>
            <a:off x="7042958" y="15665450"/>
            <a:ext cx="3213241" cy="1605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Excel 根据从 1900 年1月1日开始的天数来记录日期和时间。时间以分钟为单位记录在一天的小数部分里。因此 2017</a:t>
            </a:r>
            <a:r>
              <a:rPr lang="zh-CN" altLang="en-US" sz="1100" b="0" i="0" kern="1200" baseline="0">
                <a:solidFill>
                  <a:schemeClr val="dk1"/>
                </a:solidFill>
                <a:effectLst/>
                <a:latin typeface="Microsoft YaHei UI" panose="020B0503020204020204" pitchFamily="34" charset="-122"/>
                <a:ea typeface="Microsoft YaHei UI" panose="020B0503020204020204" pitchFamily="34" charset="-122"/>
                <a:cs typeface="+mn-cs"/>
              </a:rPr>
              <a:t>年</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1</a:t>
            </a:r>
            <a:r>
              <a:rPr lang="zh-CN" altLang="en-US" sz="1100" b="0" i="0" kern="1200" baseline="0">
                <a:solidFill>
                  <a:schemeClr val="dk1"/>
                </a:solidFill>
                <a:effectLst/>
                <a:latin typeface="Microsoft YaHei UI" panose="020B0503020204020204" pitchFamily="34" charset="-122"/>
                <a:ea typeface="Microsoft YaHei UI" panose="020B0503020204020204" pitchFamily="34" charset="-122"/>
                <a:cs typeface="+mn-cs"/>
              </a:rPr>
              <a:t>月</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1</a:t>
            </a:r>
            <a:r>
              <a:rPr lang="zh-CN" altLang="en-US" sz="1100" b="0" i="0" kern="1200" baseline="0">
                <a:solidFill>
                  <a:schemeClr val="dk1"/>
                </a:solidFill>
                <a:effectLst/>
                <a:latin typeface="Microsoft YaHei UI" panose="020B0503020204020204" pitchFamily="34" charset="-122"/>
                <a:ea typeface="Microsoft YaHei UI" panose="020B0503020204020204" pitchFamily="34" charset="-122"/>
                <a:cs typeface="+mn-cs"/>
              </a:rPr>
              <a:t>日</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中午 12:30 实际存储为 42736.5208。如果时间或日期显示为类似的数字，可按“</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Ctrl+1</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”&gt;“</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数字</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&gt;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选择“</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日期</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”或“</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时间</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”格式。 </a:t>
            </a:r>
            <a:endParaRPr lang="en-US" sz="1100">
              <a:effectLst/>
              <a:latin typeface="Microsoft YaHei UI" panose="020B0503020204020204" pitchFamily="34" charset="-122"/>
              <a:ea typeface="Microsoft YaHei UI" panose="020B0503020204020204" pitchFamily="34" charset="-122"/>
            </a:endParaRPr>
          </a:p>
        </xdr:txBody>
      </xdr:sp>
      <xdr:pic>
        <xdr:nvPicPr>
          <xdr:cNvPr id="112" name="图形 147" descr="眼镜">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任意多边形：形状 112" descr="箭头">
            <a:extLst>
              <a:ext uri="{FF2B5EF4-FFF2-40B4-BE49-F238E27FC236}">
                <a16:creationId xmlns:a16="http://schemas.microsoft.com/office/drawing/2014/main" id="{70DF2B70-E9B4-4B83-9810-DBBCC80FDC11}"/>
              </a:ext>
            </a:extLst>
          </xdr:cNvPr>
          <xdr:cNvSpPr/>
        </xdr:nvSpPr>
        <xdr:spPr>
          <a:xfrm rot="5953034" flipV="1">
            <a:off x="8264194" y="15032308"/>
            <a:ext cx="390443" cy="117649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oneCellAnchor>
  <xdr:twoCellAnchor>
    <xdr:from>
      <xdr:col>0</xdr:col>
      <xdr:colOff>342900</xdr:colOff>
      <xdr:row>0</xdr:row>
      <xdr:rowOff>352425</xdr:rowOff>
    </xdr:from>
    <xdr:to>
      <xdr:col>1</xdr:col>
      <xdr:colOff>5229225</xdr:colOff>
      <xdr:row>17</xdr:row>
      <xdr:rowOff>19050</xdr:rowOff>
    </xdr:to>
    <xdr:grpSp>
      <xdr:nvGrpSpPr>
        <xdr:cNvPr id="6" name="组合 1">
          <a:extLst>
            <a:ext uri="{FF2B5EF4-FFF2-40B4-BE49-F238E27FC236}">
              <a16:creationId xmlns:a16="http://schemas.microsoft.com/office/drawing/2014/main" id="{FD827884-2897-49C3-A3D7-51EBCFB64080}"/>
            </a:ext>
          </a:extLst>
        </xdr:cNvPr>
        <xdr:cNvGrpSpPr/>
      </xdr:nvGrpSpPr>
      <xdr:grpSpPr>
        <a:xfrm>
          <a:off x="342900" y="352425"/>
          <a:ext cx="5981700" cy="3933825"/>
          <a:chOff x="342900" y="352425"/>
          <a:chExt cx="5981700" cy="3933825"/>
        </a:xfrm>
      </xdr:grpSpPr>
      <xdr:sp macro="" textlink="">
        <xdr:nvSpPr>
          <xdr:cNvPr id="88" name="文本_教程背景" descr="背景">
            <a:extLst>
              <a:ext uri="{FF2B5EF4-FFF2-40B4-BE49-F238E27FC236}">
                <a16:creationId xmlns:a16="http://schemas.microsoft.com/office/drawing/2014/main" id="{1B9F331C-35CF-445A-B76D-D6E6332E2CF5}"/>
              </a:ext>
            </a:extLst>
          </xdr:cNvPr>
          <xdr:cNvSpPr/>
        </xdr:nvSpPr>
        <xdr:spPr>
          <a:xfrm>
            <a:off x="342900" y="352425"/>
            <a:ext cx="5981700" cy="39338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7" name="文本_教程标题" descr="日期​​函数">
            <a:extLst>
              <a:ext uri="{FF2B5EF4-FFF2-40B4-BE49-F238E27FC236}">
                <a16:creationId xmlns:a16="http://schemas.microsoft.com/office/drawing/2014/main" id="{1EE65C32-27B1-48DD-9EA0-C5AF4DDF9DA1}"/>
              </a:ext>
            </a:extLst>
          </xdr:cNvPr>
          <xdr:cNvSpPr txBox="1"/>
        </xdr:nvSpPr>
        <xdr:spPr>
          <a:xfrm>
            <a:off x="554879" y="449811"/>
            <a:ext cx="5478251" cy="496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日期​​函数</a:t>
            </a:r>
            <a:endParaRPr kumimoji="0" lang="en-US"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xnSp macro="">
        <xdr:nvCxnSpPr>
          <xdr:cNvPr id="98" name="文本_教程线条 1" descr="装饰性线条">
            <a:extLst>
              <a:ext uri="{FF2B5EF4-FFF2-40B4-BE49-F238E27FC236}">
                <a16:creationId xmlns:a16="http://schemas.microsoft.com/office/drawing/2014/main" id="{EC0E883E-105A-4156-A84D-D7E17410FCE4}"/>
              </a:ext>
            </a:extLst>
          </xdr:cNvPr>
          <xdr:cNvCxnSpPr>
            <a:cxnSpLocks/>
          </xdr:cNvCxnSpPr>
        </xdr:nvCxnSpPr>
        <xdr:spPr>
          <a:xfrm>
            <a:off x="554879" y="1034135"/>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文本_教程线条 2" descr="装饰性线条">
            <a:extLst>
              <a:ext uri="{FF2B5EF4-FFF2-40B4-BE49-F238E27FC236}">
                <a16:creationId xmlns:a16="http://schemas.microsoft.com/office/drawing/2014/main" id="{A8B37EE1-E313-4FB9-9B34-9B560124860A}"/>
              </a:ext>
            </a:extLst>
          </xdr:cNvPr>
          <xdr:cNvCxnSpPr>
            <a:cxnSpLocks/>
          </xdr:cNvCxnSpPr>
        </xdr:nvCxnSpPr>
        <xdr:spPr>
          <a:xfrm>
            <a:off x="554879" y="4074796"/>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文本_教程简介" descr="Excel 可根据计算机的区域设置提供当前日期。还可以加减日期。&#10;">
            <a:extLst>
              <a:ext uri="{FF2B5EF4-FFF2-40B4-BE49-F238E27FC236}">
                <a16:creationId xmlns:a16="http://schemas.microsoft.com/office/drawing/2014/main" id="{1CD4C115-CC7A-486C-867C-2FDD553B15B7}"/>
              </a:ext>
            </a:extLst>
          </xdr:cNvPr>
          <xdr:cNvSpPr txBox="1"/>
        </xdr:nvSpPr>
        <xdr:spPr>
          <a:xfrm>
            <a:off x="591480" y="1068301"/>
            <a:ext cx="5478251" cy="496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可根据计算机的区域设置提供当前日期。还可以加减日期。</a:t>
            </a:r>
          </a:p>
        </xdr:txBody>
      </xdr:sp>
      <xdr:grpSp>
        <xdr:nvGrpSpPr>
          <xdr:cNvPr id="105" name="组_步骤">
            <a:extLst>
              <a:ext uri="{FF2B5EF4-FFF2-40B4-BE49-F238E27FC236}">
                <a16:creationId xmlns:a16="http://schemas.microsoft.com/office/drawing/2014/main" id="{06FF7E03-9CF3-4BF2-97FA-A9B470E37530}"/>
              </a:ext>
            </a:extLst>
          </xdr:cNvPr>
          <xdr:cNvGrpSpPr/>
        </xdr:nvGrpSpPr>
        <xdr:grpSpPr>
          <a:xfrm>
            <a:off x="571437" y="1618461"/>
            <a:ext cx="5553139" cy="810415"/>
            <a:chOff x="600549" y="7810500"/>
            <a:chExt cx="5058339" cy="792631"/>
          </a:xfrm>
        </xdr:grpSpPr>
        <xdr:sp macro="" textlink="">
          <xdr:nvSpPr>
            <xdr:cNvPr id="106" name="文本_步骤" descr="尝试使用 TODAY 函数，它可向你提供当前日期。这些是实时或可变函数，所以明天打开你的工作簿时，它将显示明天的日期。在单元格 D6 中输入 =TODAY()。 &#10;&#10;">
              <a:extLst>
                <a:ext uri="{FF2B5EF4-FFF2-40B4-BE49-F238E27FC236}">
                  <a16:creationId xmlns:a16="http://schemas.microsoft.com/office/drawing/2014/main" id="{2869B18E-B13C-49FB-B4C9-A2A2A69C0D27}"/>
                </a:ext>
              </a:extLst>
            </xdr:cNvPr>
            <xdr:cNvSpPr txBox="1"/>
          </xdr:nvSpPr>
          <xdr:spPr>
            <a:xfrm>
              <a:off x="1017296" y="7852458"/>
              <a:ext cx="4641592" cy="750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函数，它可向你提供当前日期。这些是实时或可变函数，所以明天打开你的工作簿时，它将显示明天的日期。在单元格 D6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07" name="组_步骤"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4" name="组_步骤" descr="日期相减 - 以 YY/MM/DD 格式输入下一个生日，并使用 =D7-D6 查看 Excel 告诉你距此日期还剩多少天。&#10;">
            <a:extLst>
              <a:ext uri="{FF2B5EF4-FFF2-40B4-BE49-F238E27FC236}">
                <a16:creationId xmlns:a16="http://schemas.microsoft.com/office/drawing/2014/main" id="{8949AC7E-881F-4686-B2D3-0D3D90D9B1DC}"/>
              </a:ext>
            </a:extLst>
          </xdr:cNvPr>
          <xdr:cNvGrpSpPr/>
        </xdr:nvGrpSpPr>
        <xdr:grpSpPr>
          <a:xfrm>
            <a:off x="571437" y="2476694"/>
            <a:ext cx="5534088" cy="590360"/>
            <a:chOff x="609600" y="7810500"/>
            <a:chExt cx="5049799" cy="554073"/>
          </a:xfrm>
        </xdr:grpSpPr>
        <xdr:sp macro="" textlink="">
          <xdr:nvSpPr>
            <xdr:cNvPr id="115" name="文本_步骤" descr="日期相减 - 在单元格 D7 中以 YY/MM/DD 格式输入下一个生日，并在单元格 D8 中使用 =D7-D6 查看 Excel 告诉你距此日期还剩多少天。&#10;&#10;">
              <a:extLst>
                <a:ext uri="{FF2B5EF4-FFF2-40B4-BE49-F238E27FC236}">
                  <a16:creationId xmlns:a16="http://schemas.microsoft.com/office/drawing/2014/main" id="{674AF6D9-AA9C-4D64-BAE7-B4CD50116B71}"/>
                </a:ext>
              </a:extLst>
            </xdr:cNvPr>
            <xdr:cNvSpPr txBox="1"/>
          </xdr:nvSpPr>
          <xdr:spPr>
            <a:xfrm>
              <a:off x="1017295" y="7852458"/>
              <a:ext cx="4642104" cy="512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D7 中以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"YYYY</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格式输入下一个生日，并在单元格 D8 中使用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=D7-D6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查看 Excel 告诉你距此日期还剩多少天。</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组_步骤"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7" name="组_步骤">
            <a:extLst>
              <a:ext uri="{FF2B5EF4-FFF2-40B4-BE49-F238E27FC236}">
                <a16:creationId xmlns:a16="http://schemas.microsoft.com/office/drawing/2014/main" id="{8475192F-E42A-4700-8E84-BC6112DACD7C}"/>
              </a:ext>
            </a:extLst>
          </xdr:cNvPr>
          <xdr:cNvGrpSpPr/>
        </xdr:nvGrpSpPr>
        <xdr:grpSpPr>
          <a:xfrm>
            <a:off x="571439" y="3106103"/>
            <a:ext cx="5572188" cy="818196"/>
            <a:chOff x="627640" y="7810500"/>
            <a:chExt cx="5058034" cy="779981"/>
          </a:xfrm>
        </xdr:grpSpPr>
        <xdr:sp macro="" textlink="">
          <xdr:nvSpPr>
            <xdr:cNvPr id="118" name="文本_步骤" descr="日期相加 - 假设你想要知道帐单截止日期，或需要何时归还图书馆的书籍。可以对日期加上若干天进行确定。在单元格 D10 中，输入随机天数。在单元格 D11 中，我们添加 =D6+D10 以从今天开始计算到期日期。&#10;&#10;">
              <a:extLst>
                <a:ext uri="{FF2B5EF4-FFF2-40B4-BE49-F238E27FC236}">
                  <a16:creationId xmlns:a16="http://schemas.microsoft.com/office/drawing/2014/main" id="{37BB0272-2987-4A11-B2B1-9F0CA7972BC1}"/>
                </a:ext>
              </a:extLst>
            </xdr:cNvPr>
            <xdr:cNvSpPr txBox="1"/>
          </xdr:nvSpPr>
          <xdr:spPr>
            <a:xfrm>
              <a:off x="1017296" y="7852457"/>
              <a:ext cx="4668378" cy="73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假设你想要知道帐单截止日期，或需要何时归还图书馆的书籍。可以对日期加上若干天进行确定。在单元格 D10 中，输入随机天数。在单元格 D11 中，我们添加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=D6+D10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以从今天开始计算到期日期。</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9" name="组_步骤"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xdr:from>
      <xdr:col>0</xdr:col>
      <xdr:colOff>342900</xdr:colOff>
      <xdr:row>17</xdr:row>
      <xdr:rowOff>104775</xdr:rowOff>
    </xdr:from>
    <xdr:to>
      <xdr:col>1</xdr:col>
      <xdr:colOff>5229225</xdr:colOff>
      <xdr:row>60</xdr:row>
      <xdr:rowOff>48717</xdr:rowOff>
    </xdr:to>
    <xdr:sp macro="" textlink="">
      <xdr:nvSpPr>
        <xdr:cNvPr id="121" name="文本_教程背景" descr="背景">
          <a:extLst>
            <a:ext uri="{FF2B5EF4-FFF2-40B4-BE49-F238E27FC236}">
              <a16:creationId xmlns:a16="http://schemas.microsoft.com/office/drawing/2014/main" id="{013EE55B-07EC-4D50-A659-7ADD2D0198D2}"/>
            </a:ext>
          </a:extLst>
        </xdr:cNvPr>
        <xdr:cNvSpPr/>
      </xdr:nvSpPr>
      <xdr:spPr>
        <a:xfrm>
          <a:off x="342900" y="4371975"/>
          <a:ext cx="5981700" cy="89736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590015</xdr:colOff>
      <xdr:row>18</xdr:row>
      <xdr:rowOff>6599</xdr:rowOff>
    </xdr:from>
    <xdr:to>
      <xdr:col>1</xdr:col>
      <xdr:colOff>4942366</xdr:colOff>
      <xdr:row>20</xdr:row>
      <xdr:rowOff>122700</xdr:rowOff>
    </xdr:to>
    <xdr:sp macro="" textlink="">
      <xdr:nvSpPr>
        <xdr:cNvPr id="122" name="文本_教程标题" descr="时间​​函数">
          <a:extLst>
            <a:ext uri="{FF2B5EF4-FFF2-40B4-BE49-F238E27FC236}">
              <a16:creationId xmlns:a16="http://schemas.microsoft.com/office/drawing/2014/main" id="{E209722A-2C8C-4791-B9C1-5101AA32AB0A}"/>
            </a:ext>
          </a:extLst>
        </xdr:cNvPr>
        <xdr:cNvSpPr txBox="1"/>
      </xdr:nvSpPr>
      <xdr:spPr>
        <a:xfrm>
          <a:off x="590015" y="4483349"/>
          <a:ext cx="5447726" cy="53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时间​​函数</a:t>
          </a:r>
        </a:p>
      </xdr:txBody>
    </xdr:sp>
    <xdr:clientData/>
  </xdr:twoCellAnchor>
  <xdr:twoCellAnchor>
    <xdr:from>
      <xdr:col>0</xdr:col>
      <xdr:colOff>590015</xdr:colOff>
      <xdr:row>21</xdr:row>
      <xdr:rowOff>14379</xdr:rowOff>
    </xdr:from>
    <xdr:to>
      <xdr:col>1</xdr:col>
      <xdr:colOff>4938829</xdr:colOff>
      <xdr:row>21</xdr:row>
      <xdr:rowOff>14379</xdr:rowOff>
    </xdr:to>
    <xdr:cxnSp macro="">
      <xdr:nvCxnSpPr>
        <xdr:cNvPr id="123" name="文本_教程线条 1" descr="装饰性线条">
          <a:extLst>
            <a:ext uri="{FF2B5EF4-FFF2-40B4-BE49-F238E27FC236}">
              <a16:creationId xmlns:a16="http://schemas.microsoft.com/office/drawing/2014/main" id="{75A87590-4FA0-4D28-B7A3-E1F7CCD88B3B}"/>
            </a:ext>
          </a:extLst>
        </xdr:cNvPr>
        <xdr:cNvCxnSpPr>
          <a:cxnSpLocks/>
        </xdr:cNvCxnSpPr>
      </xdr:nvCxnSpPr>
      <xdr:spPr>
        <a:xfrm>
          <a:off x="590015" y="5119779"/>
          <a:ext cx="544418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590015</xdr:colOff>
      <xdr:row>56</xdr:row>
      <xdr:rowOff>203932</xdr:rowOff>
    </xdr:from>
    <xdr:to>
      <xdr:col>1</xdr:col>
      <xdr:colOff>4938829</xdr:colOff>
      <xdr:row>56</xdr:row>
      <xdr:rowOff>203932</xdr:rowOff>
    </xdr:to>
    <xdr:cxnSp macro="">
      <xdr:nvCxnSpPr>
        <xdr:cNvPr id="124" name="文本_教程线条 2" descr="装饰性线条">
          <a:extLst>
            <a:ext uri="{FF2B5EF4-FFF2-40B4-BE49-F238E27FC236}">
              <a16:creationId xmlns:a16="http://schemas.microsoft.com/office/drawing/2014/main" id="{A703583B-6374-4690-B8BC-8D6A61F4DB52}"/>
            </a:ext>
          </a:extLst>
        </xdr:cNvPr>
        <xdr:cNvCxnSpPr>
          <a:cxnSpLocks/>
        </xdr:cNvCxnSpPr>
      </xdr:nvCxnSpPr>
      <xdr:spPr>
        <a:xfrm>
          <a:off x="590015" y="12662632"/>
          <a:ext cx="544418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586679</xdr:colOff>
      <xdr:row>21</xdr:row>
      <xdr:rowOff>49731</xdr:rowOff>
    </xdr:from>
    <xdr:to>
      <xdr:col>1</xdr:col>
      <xdr:colOff>4939030</xdr:colOff>
      <xdr:row>23</xdr:row>
      <xdr:rowOff>165832</xdr:rowOff>
    </xdr:to>
    <xdr:sp macro="" textlink="">
      <xdr:nvSpPr>
        <xdr:cNvPr id="125" name="文本_教程简介" descr="Excel 可根据计算机的区域设置提供当前时间。还可以加减时间。例如，你可能需要记录某个员工每周的工作小时数，并计算其薪酬和加班费用。&#10;&#10;">
          <a:extLst>
            <a:ext uri="{FF2B5EF4-FFF2-40B4-BE49-F238E27FC236}">
              <a16:creationId xmlns:a16="http://schemas.microsoft.com/office/drawing/2014/main" id="{D8BC11B9-1B82-45F8-A69B-BA51910C6977}"/>
            </a:ext>
          </a:extLst>
        </xdr:cNvPr>
        <xdr:cNvSpPr txBox="1"/>
      </xdr:nvSpPr>
      <xdr:spPr>
        <a:xfrm>
          <a:off x="586679" y="5155131"/>
          <a:ext cx="5447726" cy="53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可根据计算机的区域设置提供当前时间。还可以加减时间。例如，你可能需要记录某个员工每周的工作小时数，并计算其薪酬和加班费用。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581372</xdr:colOff>
      <xdr:row>24</xdr:row>
      <xdr:rowOff>132883</xdr:rowOff>
    </xdr:from>
    <xdr:to>
      <xdr:col>1</xdr:col>
      <xdr:colOff>4917450</xdr:colOff>
      <xdr:row>56</xdr:row>
      <xdr:rowOff>80776</xdr:rowOff>
    </xdr:to>
    <xdr:grpSp>
      <xdr:nvGrpSpPr>
        <xdr:cNvPr id="4" name="组合 125">
          <a:extLst>
            <a:ext uri="{FF2B5EF4-FFF2-40B4-BE49-F238E27FC236}">
              <a16:creationId xmlns:a16="http://schemas.microsoft.com/office/drawing/2014/main" id="{7865FC33-95F4-47A7-A9E6-A5C9AD82C2FF}"/>
            </a:ext>
          </a:extLst>
        </xdr:cNvPr>
        <xdr:cNvGrpSpPr/>
      </xdr:nvGrpSpPr>
      <xdr:grpSpPr>
        <a:xfrm>
          <a:off x="581372" y="5866933"/>
          <a:ext cx="5431453" cy="6672543"/>
          <a:chOff x="581372" y="5866933"/>
          <a:chExt cx="5431453" cy="6672543"/>
        </a:xfrm>
      </xdr:grpSpPr>
      <xdr:grpSp>
        <xdr:nvGrpSpPr>
          <xdr:cNvPr id="127" name="组_步骤">
            <a:extLst>
              <a:ext uri="{FF2B5EF4-FFF2-40B4-BE49-F238E27FC236}">
                <a16:creationId xmlns:a16="http://schemas.microsoft.com/office/drawing/2014/main" id="{AAE10329-58E6-4043-B19B-2070B24369C8}"/>
              </a:ext>
            </a:extLst>
          </xdr:cNvPr>
          <xdr:cNvGrpSpPr/>
        </xdr:nvGrpSpPr>
        <xdr:grpSpPr>
          <a:xfrm>
            <a:off x="581372" y="5866933"/>
            <a:ext cx="5431453" cy="781518"/>
            <a:chOff x="495419" y="7647992"/>
            <a:chExt cx="5201276" cy="701787"/>
          </a:xfrm>
        </xdr:grpSpPr>
        <xdr:sp macro="" textlink="">
          <xdr:nvSpPr>
            <xdr:cNvPr id="149" name="文本_步骤" descr="在单元格 D28 中，输入 =NOW()，这将提供当前时间，并在每次 Excel 计算时进行更新。如果需要更改时间格式，可以转到“Ctrl+1”&gt;“数字”&gt;“时间”&gt; 选择所需格式。&#10;&#10;&#10;&#10;">
              <a:extLst>
                <a:ext uri="{FF2B5EF4-FFF2-40B4-BE49-F238E27FC236}">
                  <a16:creationId xmlns:a16="http://schemas.microsoft.com/office/drawing/2014/main" id="{E9EDD045-804A-43D1-9571-BDF7D36C6FD0}"/>
                </a:ext>
              </a:extLst>
            </xdr:cNvPr>
            <xdr:cNvSpPr txBox="1"/>
          </xdr:nvSpPr>
          <xdr:spPr>
            <a:xfrm>
              <a:off x="918156" y="7689951"/>
              <a:ext cx="4778539" cy="659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D28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=NOW()</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，这将提供当前时间，并在每次 Excel 计算时进行更新。如果需要更改时间格式，可以转到“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时间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 选择所需格式。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50" name="组_步骤" descr="1">
              <a:extLst>
                <a:ext uri="{FF2B5EF4-FFF2-40B4-BE49-F238E27FC236}">
                  <a16:creationId xmlns:a16="http://schemas.microsoft.com/office/drawing/2014/main" id="{43143942-F7A9-4AD3-81E2-7C90A9BD32F5}"/>
                </a:ext>
              </a:extLst>
            </xdr:cNvPr>
            <xdr:cNvSpPr/>
          </xdr:nvSpPr>
          <xdr:spPr>
            <a:xfrm>
              <a:off x="495419" y="7647992"/>
              <a:ext cx="392000" cy="3523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8" name="组_步骤">
            <a:extLst>
              <a:ext uri="{FF2B5EF4-FFF2-40B4-BE49-F238E27FC236}">
                <a16:creationId xmlns:a16="http://schemas.microsoft.com/office/drawing/2014/main" id="{FCFD70FD-C355-4B74-9752-B828C322CD76}"/>
              </a:ext>
            </a:extLst>
          </xdr:cNvPr>
          <xdr:cNvGrpSpPr/>
        </xdr:nvGrpSpPr>
        <xdr:grpSpPr>
          <a:xfrm>
            <a:off x="581372" y="6781651"/>
            <a:ext cx="5382623" cy="1324130"/>
            <a:chOff x="525611" y="7379040"/>
            <a:chExt cx="5511382" cy="1138114"/>
          </a:xfrm>
        </xdr:grpSpPr>
        <xdr:sp macro="" textlink="">
          <xdr:nvSpPr>
            <xdr:cNvPr id="147" name="文本_步骤" descr="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10;&#10;&#10;">
              <a:extLst>
                <a:ext uri="{FF2B5EF4-FFF2-40B4-BE49-F238E27FC236}">
                  <a16:creationId xmlns:a16="http://schemas.microsoft.com/office/drawing/2014/main" id="{0EFBDF0F-AC77-476D-A83B-91831148AC0B}"/>
                </a:ext>
              </a:extLst>
            </xdr:cNvPr>
            <xdr:cNvSpPr txBox="1"/>
          </xdr:nvSpPr>
          <xdr:spPr>
            <a:xfrm>
              <a:off x="977615" y="7418986"/>
              <a:ext cx="5059378" cy="1098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将时间之间的小时数相加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在单元格 D36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=((D35-D32)-(D34-D33))*24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，计算某人的上下班时间，然后减去午餐所花的时间。公式末尾的 *24 可将 Excel 显示的天的小数部分转换为小时。但你需要将单元格格式设置为“数值”。若要执行该操作，请转到“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“格式”&gt;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单元格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”&gt;“小数位数: 2”。</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8" name="组_步骤" descr="2">
              <a:extLst>
                <a:ext uri="{FF2B5EF4-FFF2-40B4-BE49-F238E27FC236}">
                  <a16:creationId xmlns:a16="http://schemas.microsoft.com/office/drawing/2014/main" id="{01C2BD5A-43C6-4B2A-81C9-44F9293E1619}"/>
                </a:ext>
              </a:extLst>
            </xdr:cNvPr>
            <xdr:cNvSpPr/>
          </xdr:nvSpPr>
          <xdr:spPr>
            <a:xfrm>
              <a:off x="525611" y="7379040"/>
              <a:ext cx="419140" cy="33727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29" name="组_步骤">
            <a:extLst>
              <a:ext uri="{FF2B5EF4-FFF2-40B4-BE49-F238E27FC236}">
                <a16:creationId xmlns:a16="http://schemas.microsoft.com/office/drawing/2014/main" id="{37BDA65B-35DA-46DF-B41B-4F13939916CE}"/>
              </a:ext>
            </a:extLst>
          </xdr:cNvPr>
          <xdr:cNvGrpSpPr/>
        </xdr:nvGrpSpPr>
        <xdr:grpSpPr>
          <a:xfrm>
            <a:off x="581372" y="8177022"/>
            <a:ext cx="5382623" cy="795531"/>
            <a:chOff x="525611" y="7321731"/>
            <a:chExt cx="5511382" cy="683774"/>
          </a:xfrm>
        </xdr:grpSpPr>
        <xdr:sp macro="" textlink="">
          <xdr:nvSpPr>
            <xdr:cNvPr id="145" name="文本_步骤" descr="如果对此公式进行解释，应会是：“用下班时间减去上班时间，然后减去午餐外出/返回时间，然后乘以 24，将 Excel 的小数时间转换为小时”，或 =((Time In - Time Out)-(Lunch In - Lunch Out))*24。">
              <a:extLst>
                <a:ext uri="{FF2B5EF4-FFF2-40B4-BE49-F238E27FC236}">
                  <a16:creationId xmlns:a16="http://schemas.microsoft.com/office/drawing/2014/main" id="{48EA3D5E-AB73-4DC6-A8F8-8EECF1D29572}"/>
                </a:ext>
              </a:extLst>
            </xdr:cNvPr>
            <xdr:cNvSpPr txBox="1"/>
          </xdr:nvSpPr>
          <xdr:spPr>
            <a:xfrm>
              <a:off x="977615" y="7361678"/>
              <a:ext cx="5059378" cy="643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如果对此公式进行解释，应会是：“用下班时间减去上班时间，然后减去午餐外出/返回时间，然后乘以 24，将 Excel 的小数时间转换为小时”，或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上班时间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下班时间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午餐返回时间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午餐外出时间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))*24。</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6" name="组_步骤" descr="3">
              <a:extLst>
                <a:ext uri="{FF2B5EF4-FFF2-40B4-BE49-F238E27FC236}">
                  <a16:creationId xmlns:a16="http://schemas.microsoft.com/office/drawing/2014/main" id="{A80445FC-915C-4C80-84C7-4F5844E68106}"/>
                </a:ext>
              </a:extLst>
            </xdr:cNvPr>
            <xdr:cNvSpPr/>
          </xdr:nvSpPr>
          <xdr:spPr>
            <a:xfrm>
              <a:off x="525611" y="7321731"/>
              <a:ext cx="419140" cy="33727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30" name="组 129">
            <a:extLst>
              <a:ext uri="{FF2B5EF4-FFF2-40B4-BE49-F238E27FC236}">
                <a16:creationId xmlns:a16="http://schemas.microsoft.com/office/drawing/2014/main" id="{DF713144-AD4F-445E-9EBF-373B4699DB59}"/>
              </a:ext>
            </a:extLst>
          </xdr:cNvPr>
          <xdr:cNvGrpSpPr/>
        </xdr:nvGrpSpPr>
        <xdr:grpSpPr>
          <a:xfrm>
            <a:off x="1266993" y="9172898"/>
            <a:ext cx="4560793" cy="3366578"/>
            <a:chOff x="7777163" y="3998832"/>
            <a:chExt cx="4653382" cy="2868267"/>
          </a:xfrm>
        </xdr:grpSpPr>
        <xdr:sp macro="" textlink="">
          <xdr:nvSpPr>
            <xdr:cNvPr id="131" name="公式上括号">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2" name="公式下括号">
              <a:extLst>
                <a:ext uri="{FF2B5EF4-FFF2-40B4-BE49-F238E27FC236}">
                  <a16:creationId xmlns:a16="http://schemas.microsoft.com/office/drawing/2014/main" id="{7C65B1CB-F7F0-4F37-A997-175F5CFFD7C0}"/>
                </a:ext>
              </a:extLst>
            </xdr:cNvPr>
            <xdr:cNvSpPr/>
          </xdr:nvSpPr>
          <xdr:spPr>
            <a:xfrm rot="5400000">
              <a:off x="11358057" y="4443278"/>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3" name="公式下括号">
              <a:extLst>
                <a:ext uri="{FF2B5EF4-FFF2-40B4-BE49-F238E27FC236}">
                  <a16:creationId xmlns:a16="http://schemas.microsoft.com/office/drawing/2014/main" id="{CF6D3514-478A-4DBA-A8E4-F612350013B5}"/>
                </a:ext>
              </a:extLst>
            </xdr:cNvPr>
            <xdr:cNvSpPr/>
          </xdr:nvSpPr>
          <xdr:spPr>
            <a:xfrm rot="5400000">
              <a:off x="8267529" y="4381573"/>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4" name="文本_公式" descr="=((D35-D32)-(D34-D33))*24&#10;">
              <a:extLst>
                <a:ext uri="{FF2B5EF4-FFF2-40B4-BE49-F238E27FC236}">
                  <a16:creationId xmlns:a16="http://schemas.microsoft.com/office/drawing/2014/main" id="{6009CED5-1433-4E1F-B008-D29EAE95FC7A}"/>
                </a:ext>
              </a:extLst>
            </xdr:cNvPr>
            <xdr:cNvSpPr txBox="1"/>
          </xdr:nvSpPr>
          <xdr:spPr>
            <a:xfrm>
              <a:off x="7777163" y="488632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=((D35-D32)-(D34-D33))*24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35" name="文本_公式下部标注" descr="下班时间&#10;&#10;">
              <a:extLst>
                <a:ext uri="{FF2B5EF4-FFF2-40B4-BE49-F238E27FC236}">
                  <a16:creationId xmlns:a16="http://schemas.microsoft.com/office/drawing/2014/main" id="{9F9E3A72-C781-4703-B4D3-DB7F87F8E5A1}"/>
                </a:ext>
              </a:extLst>
            </xdr:cNvPr>
            <xdr:cNvSpPr txBox="1">
              <a:spLocks noChangeArrowheads="1"/>
            </xdr:cNvSpPr>
          </xdr:nvSpPr>
          <xdr:spPr bwMode="auto">
            <a:xfrm>
              <a:off x="8059990" y="4241256"/>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下班时间</a:t>
              </a:r>
            </a:p>
          </xdr:txBody>
        </xdr:sp>
        <xdr:sp macro="" textlink="">
          <xdr:nvSpPr>
            <xdr:cNvPr id="136" name="文本_公式下部标注" descr="*24 将 Excel 一天的小数部分转换为小时&#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3998832"/>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*24 将 Excel 一天的小数部分转换为小时</a:t>
              </a:r>
            </a:p>
          </xdr:txBody>
        </xdr:sp>
        <xdr:sp macro="" textlink="">
          <xdr:nvSpPr>
            <xdr:cNvPr id="137" name="文本_公式上部标注" descr="上班时间&#10;">
              <a:extLst>
                <a:ext uri="{FF2B5EF4-FFF2-40B4-BE49-F238E27FC236}">
                  <a16:creationId xmlns:a16="http://schemas.microsoft.com/office/drawing/2014/main" id="{5E5338FF-C2B1-4DA0-AE11-AC6DC9A18383}"/>
                </a:ext>
              </a:extLst>
            </xdr:cNvPr>
            <xdr:cNvSpPr txBox="1">
              <a:spLocks noChangeArrowheads="1"/>
            </xdr:cNvSpPr>
          </xdr:nvSpPr>
          <xdr:spPr bwMode="auto">
            <a:xfrm>
              <a:off x="8709859" y="5504248"/>
              <a:ext cx="853934"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上班时间</a:t>
              </a:r>
            </a:p>
          </xdr:txBody>
        </xdr:sp>
        <xdr:sp macro="" textlink="">
          <xdr:nvSpPr>
            <xdr:cNvPr id="138" name="公式上括号">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9" name="公式下括号">
              <a:extLst>
                <a:ext uri="{FF2B5EF4-FFF2-40B4-BE49-F238E27FC236}">
                  <a16:creationId xmlns:a16="http://schemas.microsoft.com/office/drawing/2014/main" id="{E9FAA5E1-CE6E-4068-9309-7BEC7468CAD9}"/>
                </a:ext>
              </a:extLst>
            </xdr:cNvPr>
            <xdr:cNvSpPr/>
          </xdr:nvSpPr>
          <xdr:spPr>
            <a:xfrm rot="5400000">
              <a:off x="9920840" y="438773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下部标注" descr="午餐外出时间&#10;">
              <a:extLst>
                <a:ext uri="{FF2B5EF4-FFF2-40B4-BE49-F238E27FC236}">
                  <a16:creationId xmlns:a16="http://schemas.microsoft.com/office/drawing/2014/main" id="{AC3DD593-CF51-4FD3-853B-AF9786C1FA03}"/>
                </a:ext>
              </a:extLst>
            </xdr:cNvPr>
            <xdr:cNvSpPr txBox="1">
              <a:spLocks noChangeArrowheads="1"/>
            </xdr:cNvSpPr>
          </xdr:nvSpPr>
          <xdr:spPr bwMode="auto">
            <a:xfrm>
              <a:off x="9460078" y="4247417"/>
              <a:ext cx="1150263"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午餐外出时间</a:t>
              </a:r>
            </a:p>
          </xdr:txBody>
        </xdr:sp>
        <xdr:sp macro="" textlink="">
          <xdr:nvSpPr>
            <xdr:cNvPr id="141" name="文本_公式上部标注" descr="午餐返回时间&#10;&#10;">
              <a:extLst>
                <a:ext uri="{FF2B5EF4-FFF2-40B4-BE49-F238E27FC236}">
                  <a16:creationId xmlns:a16="http://schemas.microsoft.com/office/drawing/2014/main" id="{B855D0A5-2977-4D62-AD0B-843A0716AFBA}"/>
                </a:ext>
              </a:extLst>
            </xdr:cNvPr>
            <xdr:cNvSpPr txBox="1">
              <a:spLocks noChangeArrowheads="1"/>
            </xdr:cNvSpPr>
          </xdr:nvSpPr>
          <xdr:spPr bwMode="auto">
            <a:xfrm>
              <a:off x="10149469" y="5518523"/>
              <a:ext cx="1265686"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午餐返回时间</a:t>
              </a:r>
            </a:p>
          </xdr:txBody>
        </xdr:sp>
        <xdr:sp macro="" textlink="">
          <xdr:nvSpPr>
            <xdr:cNvPr id="142" name="公式上括号">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3" name="公式上括号">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4" name="文本_公式上部标注" descr="内部括号 () 可确保 Excel 自行计算公式的这些部分。外部括号可确保 Excel​​ 将最终的内部结果乘以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内部括号 () 可确保 Excel 自行计算公式的这些部分。外部括号可确保 Excel​​ 将</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最终的内部结果乘以 24。</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grpSp>
    <xdr:clientData/>
  </xdr:twoCellAnchor>
  <xdr:twoCellAnchor>
    <xdr:from>
      <xdr:col>0</xdr:col>
      <xdr:colOff>621119</xdr:colOff>
      <xdr:row>57</xdr:row>
      <xdr:rowOff>155189</xdr:rowOff>
    </xdr:from>
    <xdr:to>
      <xdr:col>1</xdr:col>
      <xdr:colOff>855988</xdr:colOff>
      <xdr:row>59</xdr:row>
      <xdr:rowOff>94262</xdr:rowOff>
    </xdr:to>
    <xdr:sp macro="" textlink="">
      <xdr:nvSpPr>
        <xdr:cNvPr id="151"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FCEE4E56-0B89-4F5D-A0A7-90EECC03D116}"/>
            </a:ext>
          </a:extLst>
        </xdr:cNvPr>
        <xdr:cNvSpPr/>
      </xdr:nvSpPr>
      <xdr:spPr>
        <a:xfrm flipH="1">
          <a:off x="621119" y="12823439"/>
          <a:ext cx="1330244" cy="35817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xdr:twoCellAnchor>
  <xdr:twoCellAnchor>
    <xdr:from>
      <xdr:col>1</xdr:col>
      <xdr:colOff>3617926</xdr:colOff>
      <xdr:row>57</xdr:row>
      <xdr:rowOff>155189</xdr:rowOff>
    </xdr:from>
    <xdr:to>
      <xdr:col>1</xdr:col>
      <xdr:colOff>4948170</xdr:colOff>
      <xdr:row>59</xdr:row>
      <xdr:rowOff>94262</xdr:rowOff>
    </xdr:to>
    <xdr:sp macro="" textlink="">
      <xdr:nvSpPr>
        <xdr:cNvPr id="152" name="“下一步”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892C894D-1A63-4276-98DF-57872191F092}"/>
            </a:ext>
          </a:extLst>
        </xdr:cNvPr>
        <xdr:cNvSpPr/>
      </xdr:nvSpPr>
      <xdr:spPr>
        <a:xfrm>
          <a:off x="4713301" y="12823439"/>
          <a:ext cx="1330244" cy="35817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absoluteAnchor>
    <xdr:pos x="6829425" y="10724260"/>
    <xdr:ext cx="3190875" cy="1772536"/>
    <xdr:grpSp>
      <xdr:nvGrpSpPr>
        <xdr:cNvPr id="153" name="组 152">
          <a:extLst>
            <a:ext uri="{FF2B5EF4-FFF2-40B4-BE49-F238E27FC236}">
              <a16:creationId xmlns:a16="http://schemas.microsoft.com/office/drawing/2014/main" id="{5099300F-1CF9-4951-9904-72E39FABE751}"/>
            </a:ext>
          </a:extLst>
        </xdr:cNvPr>
        <xdr:cNvGrpSpPr/>
      </xdr:nvGrpSpPr>
      <xdr:grpSpPr>
        <a:xfrm>
          <a:off x="6829425" y="10724260"/>
          <a:ext cx="3190875" cy="1772536"/>
          <a:chOff x="6391275" y="8517161"/>
          <a:chExt cx="3190875" cy="1601846"/>
        </a:xfrm>
      </xdr:grpSpPr>
      <xdr:sp macro="" textlink="">
        <xdr:nvSpPr>
          <xdr:cNvPr id="154" name="步骤" descr="扩展知识&#10;可以使用键盘快捷方式输入不会连续变化的日期和时间：&#10;&#10;日期 - Ctrl+;&#10;时间 - Ctrl+Shift+:&#10;">
            <a:extLst>
              <a:ext uri="{FF2B5EF4-FFF2-40B4-BE49-F238E27FC236}">
                <a16:creationId xmlns:a16="http://schemas.microsoft.com/office/drawing/2014/main" id="{B34ACC4B-6898-43D7-8CE0-22EF795B1C15}"/>
              </a:ext>
            </a:extLst>
          </xdr:cNvPr>
          <xdr:cNvSpPr txBox="1"/>
        </xdr:nvSpPr>
        <xdr:spPr>
          <a:xfrm>
            <a:off x="6637024" y="8769732"/>
            <a:ext cx="2945126" cy="134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可以使用键盘快捷方式输入不会连续变化的日期和时间：</a:t>
            </a:r>
          </a:p>
          <a:p>
            <a:pPr algn="ct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日期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时间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Ctrl+Shift+:</a:t>
            </a:r>
            <a:endParaRPr lang="en-US" sz="1100">
              <a:effectLst/>
              <a:latin typeface="Microsoft YaHei UI" panose="020B0503020204020204" pitchFamily="34" charset="-122"/>
              <a:ea typeface="Microsoft YaHei UI" panose="020B0503020204020204" pitchFamily="34" charset="-122"/>
            </a:endParaRPr>
          </a:p>
        </xdr:txBody>
      </xdr:sp>
      <xdr:pic>
        <xdr:nvPicPr>
          <xdr:cNvPr id="155" name="图形 147" descr="眼镜">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任意多边形：形状 155" descr="箭头">
            <a:extLst>
              <a:ext uri="{FF2B5EF4-FFF2-40B4-BE49-F238E27FC236}">
                <a16:creationId xmlns:a16="http://schemas.microsoft.com/office/drawing/2014/main" id="{DC28982F-2938-4FB2-83AE-57CF7D95EFD2}"/>
              </a:ext>
            </a:extLst>
          </xdr:cNvPr>
          <xdr:cNvSpPr/>
        </xdr:nvSpPr>
        <xdr:spPr>
          <a:xfrm rot="5587898" flipV="1">
            <a:off x="7999252" y="7945791"/>
            <a:ext cx="345250" cy="14879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absoluteAnchor>
  <xdr:twoCellAnchor>
    <xdr:from>
      <xdr:col>0</xdr:col>
      <xdr:colOff>342900</xdr:colOff>
      <xdr:row>60</xdr:row>
      <xdr:rowOff>142875</xdr:rowOff>
    </xdr:from>
    <xdr:to>
      <xdr:col>1</xdr:col>
      <xdr:colOff>5228463</xdr:colOff>
      <xdr:row>73</xdr:row>
      <xdr:rowOff>142875</xdr:rowOff>
    </xdr:to>
    <xdr:grpSp>
      <xdr:nvGrpSpPr>
        <xdr:cNvPr id="157" name="组 156">
          <a:extLst>
            <a:ext uri="{FF2B5EF4-FFF2-40B4-BE49-F238E27FC236}">
              <a16:creationId xmlns:a16="http://schemas.microsoft.com/office/drawing/2014/main" id="{BBCBE502-8234-4D4A-9B27-5CABDDC8BAC3}"/>
            </a:ext>
          </a:extLst>
        </xdr:cNvPr>
        <xdr:cNvGrpSpPr/>
      </xdr:nvGrpSpPr>
      <xdr:grpSpPr>
        <a:xfrm>
          <a:off x="342900" y="13439775"/>
          <a:ext cx="5980938" cy="2724150"/>
          <a:chOff x="352425" y="12715875"/>
          <a:chExt cx="5733288" cy="2476500"/>
        </a:xfrm>
      </xdr:grpSpPr>
      <xdr:sp macro="" textlink="">
        <xdr:nvSpPr>
          <xdr:cNvPr id="158" name="矩形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9" name="步骤" descr="访问网页获取详细信息&#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60" name="直接连接符​​ 159" descr="装饰性线条">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直接连接符​​ 160" descr="装饰性线条">
            <a:extLst>
              <a:ext uri="{FF2B5EF4-FFF2-40B4-BE49-F238E27FC236}">
                <a16:creationId xmlns:a16="http://schemas.microsoft.com/office/drawing/2014/main" id="{2AF4D85B-72C9-4670-AFD5-D498C1F96D34}"/>
              </a:ext>
            </a:extLst>
          </xdr:cNvPr>
          <xdr:cNvCxnSpPr>
            <a:cxnSpLocks/>
          </xdr:cNvCxnSpPr>
        </xdr:nvCxnSpPr>
        <xdr:spPr>
          <a:xfrm>
            <a:off x="564965" y="15072320"/>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63</xdr:row>
      <xdr:rowOff>188044</xdr:rowOff>
    </xdr:from>
    <xdr:to>
      <xdr:col>1</xdr:col>
      <xdr:colOff>2590800</xdr:colOff>
      <xdr:row>65</xdr:row>
      <xdr:rowOff>166123</xdr:rowOff>
    </xdr:to>
    <xdr:grpSp>
      <xdr:nvGrpSpPr>
        <xdr:cNvPr id="14" name="组 13">
          <a:extLst>
            <a:ext uri="{FF2B5EF4-FFF2-40B4-BE49-F238E27FC236}">
              <a16:creationId xmlns:a16="http://schemas.microsoft.com/office/drawing/2014/main" id="{C4A695FE-F3AB-4030-A0F4-F10322DAD2D7}"/>
            </a:ext>
          </a:extLst>
        </xdr:cNvPr>
        <xdr:cNvGrpSpPr/>
      </xdr:nvGrpSpPr>
      <xdr:grpSpPr>
        <a:xfrm>
          <a:off x="571931" y="14113594"/>
          <a:ext cx="3114244" cy="397179"/>
          <a:chOff x="571931" y="13599244"/>
          <a:chExt cx="2866594" cy="359079"/>
        </a:xfrm>
      </xdr:grpSpPr>
      <xdr:sp macro="" textlink="">
        <xdr:nvSpPr>
          <xdr:cNvPr id="162" name="步骤" descr="有关 TODAY 函数的全部内容，超链接到网页&#10;&#10;">
            <a:hlinkClick xmlns:r="http://schemas.openxmlformats.org/officeDocument/2006/relationships" r:id="rId5" tooltip="选择此处，从网页上了解有关 TODAY 函数的全部内容"/>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3"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xdr:from>
      <xdr:col>0</xdr:col>
      <xdr:colOff>571931</xdr:colOff>
      <xdr:row>66</xdr:row>
      <xdr:rowOff>32091</xdr:rowOff>
    </xdr:from>
    <xdr:to>
      <xdr:col>1</xdr:col>
      <xdr:colOff>2619375</xdr:colOff>
      <xdr:row>68</xdr:row>
      <xdr:rowOff>15480</xdr:rowOff>
    </xdr:to>
    <xdr:grpSp>
      <xdr:nvGrpSpPr>
        <xdr:cNvPr id="13" name="组 12">
          <a:extLst>
            <a:ext uri="{FF2B5EF4-FFF2-40B4-BE49-F238E27FC236}">
              <a16:creationId xmlns:a16="http://schemas.microsoft.com/office/drawing/2014/main" id="{E793ECE4-F54A-4632-BABB-CDB76236E886}"/>
            </a:ext>
          </a:extLst>
        </xdr:cNvPr>
        <xdr:cNvGrpSpPr/>
      </xdr:nvGrpSpPr>
      <xdr:grpSpPr>
        <a:xfrm>
          <a:off x="571931" y="14586291"/>
          <a:ext cx="3142819" cy="402489"/>
          <a:chOff x="571931" y="14014791"/>
          <a:chExt cx="2895169" cy="364389"/>
        </a:xfrm>
      </xdr:grpSpPr>
      <xdr:sp macro="" textlink="">
        <xdr:nvSpPr>
          <xdr:cNvPr id="164" name="步骤" descr="有关 NOW 函数的全部内容，超链接到网页&#10;">
            <a:hlinkClick xmlns:r="http://schemas.openxmlformats.org/officeDocument/2006/relationships" r:id="rId8" tooltip="选择此处，从网页上了解有关 NOW 函数的全部内容"/>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NOW</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5"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xdr:from>
      <xdr:col>0</xdr:col>
      <xdr:colOff>584540</xdr:colOff>
      <xdr:row>70</xdr:row>
      <xdr:rowOff>146353</xdr:rowOff>
    </xdr:from>
    <xdr:to>
      <xdr:col>1</xdr:col>
      <xdr:colOff>2240842</xdr:colOff>
      <xdr:row>72</xdr:row>
      <xdr:rowOff>129742</xdr:rowOff>
    </xdr:to>
    <xdr:grpSp>
      <xdr:nvGrpSpPr>
        <xdr:cNvPr id="9" name="组 8">
          <a:extLst>
            <a:ext uri="{FF2B5EF4-FFF2-40B4-BE49-F238E27FC236}">
              <a16:creationId xmlns:a16="http://schemas.microsoft.com/office/drawing/2014/main" id="{659E6730-AC76-4CC7-A823-D2C618696DAA}"/>
            </a:ext>
          </a:extLst>
        </xdr:cNvPr>
        <xdr:cNvGrpSpPr/>
      </xdr:nvGrpSpPr>
      <xdr:grpSpPr>
        <a:xfrm>
          <a:off x="584540" y="15538753"/>
          <a:ext cx="2751677" cy="402489"/>
          <a:chOff x="584540" y="14891053"/>
          <a:chExt cx="2504027" cy="364389"/>
        </a:xfrm>
      </xdr:grpSpPr>
      <xdr:sp macro="" textlink="">
        <xdr:nvSpPr>
          <xdr:cNvPr id="166"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167" name="图形 22" descr="箭头">
            <a:hlinkClick xmlns:r="http://schemas.openxmlformats.org/officeDocument/2006/relationships" r:id="rId9" tooltip="选择此处，从网页上了解详细信息"/>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xdr:from>
      <xdr:col>0</xdr:col>
      <xdr:colOff>581456</xdr:colOff>
      <xdr:row>68</xdr:row>
      <xdr:rowOff>71948</xdr:rowOff>
    </xdr:from>
    <xdr:to>
      <xdr:col>1</xdr:col>
      <xdr:colOff>2628900</xdr:colOff>
      <xdr:row>70</xdr:row>
      <xdr:rowOff>55337</xdr:rowOff>
    </xdr:to>
    <xdr:grpSp>
      <xdr:nvGrpSpPr>
        <xdr:cNvPr id="12" name="组 11">
          <a:extLst>
            <a:ext uri="{FF2B5EF4-FFF2-40B4-BE49-F238E27FC236}">
              <a16:creationId xmlns:a16="http://schemas.microsoft.com/office/drawing/2014/main" id="{FF28E0D6-012A-4FA6-9D67-C8B77A5CC9E6}"/>
            </a:ext>
          </a:extLst>
        </xdr:cNvPr>
        <xdr:cNvGrpSpPr/>
      </xdr:nvGrpSpPr>
      <xdr:grpSpPr>
        <a:xfrm>
          <a:off x="581456" y="15045248"/>
          <a:ext cx="3142819" cy="402489"/>
          <a:chOff x="581456" y="14435648"/>
          <a:chExt cx="2895169" cy="364389"/>
        </a:xfrm>
      </xdr:grpSpPr>
      <xdr:sp macro="" textlink="">
        <xdr:nvSpPr>
          <xdr:cNvPr id="168" name="步骤" descr="有关 DATE 函数的全部内容，超链接到网页&#10;">
            <a:hlinkClick xmlns:r="http://schemas.openxmlformats.org/officeDocument/2006/relationships" r:id="rId10" tooltip="选择此处，从网页上了解有关 DATE 函数的全部内容"/>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DATE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9" name="图形 22" descr="箭头">
            <a:hlinkClick xmlns:r="http://schemas.openxmlformats.org/officeDocument/2006/relationships" r:id="rId10" tooltip="选择此处，从网页上了解详细信息"/>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41108</xdr:colOff>
      <xdr:row>6</xdr:row>
      <xdr:rowOff>101304</xdr:rowOff>
    </xdr:from>
    <xdr:to>
      <xdr:col>9</xdr:col>
      <xdr:colOff>192616</xdr:colOff>
      <xdr:row>13</xdr:row>
      <xdr:rowOff>44448</xdr:rowOff>
    </xdr:to>
    <xdr:grpSp>
      <xdr:nvGrpSpPr>
        <xdr:cNvPr id="78" name="重要详细信息" descr="重要详细信息&#10;&#10;">
          <a:extLst>
            <a:ext uri="{FF2B5EF4-FFF2-40B4-BE49-F238E27FC236}">
              <a16:creationId xmlns:a16="http://schemas.microsoft.com/office/drawing/2014/main" id="{F03EFBCA-CF45-46A3-8D0C-6B4DC1C4CC33}"/>
            </a:ext>
          </a:extLst>
        </xdr:cNvPr>
        <xdr:cNvGrpSpPr/>
      </xdr:nvGrpSpPr>
      <xdr:grpSpPr>
        <a:xfrm>
          <a:off x="10290008" y="2082504"/>
          <a:ext cx="3961508" cy="1390944"/>
          <a:chOff x="6396316" y="11324814"/>
          <a:chExt cx="4106584" cy="1343436"/>
        </a:xfrm>
      </xdr:grpSpPr>
      <xdr:sp macro="" textlink="">
        <xdr:nvSpPr>
          <xdr:cNvPr id="79" name="说明" descr="重要详细信息&#10;如果不希望 Excel 显示负数，因为尚未输入你的生日，可以使用 IF 函数，如下所示：=IF(D7=&quot;&quot;,&quot;&quot;,D7-D6)，表示“如果 D7 无任何内容，则不显示任何内容，否则显示 D7-D6”。&#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如果不希望 Excel 显示负数，因为尚未输入你的生日，可以使用 IF 函数，如下所示：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=IF(D7="","",D7-D6)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，表示“如果 D7 无任何内容，则不显示任何内容，否则显示 D7-D6”。</a:t>
            </a:r>
            <a:endParaRPr lang="en-US" sz="1100">
              <a:effectLst/>
              <a:latin typeface="Microsoft YaHei UI" panose="020B0503020204020204" pitchFamily="34" charset="-122"/>
              <a:ea typeface="Microsoft YaHei UI" panose="020B0503020204020204" pitchFamily="34" charset="-122"/>
            </a:endParaRPr>
          </a:p>
        </xdr:txBody>
      </xdr:sp>
      <xdr:pic>
        <xdr:nvPicPr>
          <xdr:cNvPr id="80" name="放大镜" descr="放大镜">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箭头" descr="箭头">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3" name="组合 110">
          <a:extLst>
            <a:ext uri="{FF2B5EF4-FFF2-40B4-BE49-F238E27FC236}">
              <a16:creationId xmlns:a16="http://schemas.microsoft.com/office/drawing/2014/main" id="{284549BD-2A07-452B-8537-D183AB078B22}"/>
            </a:ext>
          </a:extLst>
        </xdr:cNvPr>
        <xdr:cNvGrpSpPr/>
      </xdr:nvGrpSpPr>
      <xdr:grpSpPr>
        <a:xfrm>
          <a:off x="323850" y="5438775"/>
          <a:ext cx="5981700" cy="4981575"/>
          <a:chOff x="323850" y="5438775"/>
          <a:chExt cx="5981700" cy="4981575"/>
        </a:xfrm>
      </xdr:grpSpPr>
      <xdr:grpSp>
        <xdr:nvGrpSpPr>
          <xdr:cNvPr id="58" name="组_教程窗格">
            <a:extLst>
              <a:ext uri="{FF2B5EF4-FFF2-40B4-BE49-F238E27FC236}">
                <a16:creationId xmlns:a16="http://schemas.microsoft.com/office/drawing/2014/main" id="{3E43ADA2-5F3E-45C6-BA66-1973A0B1F638}"/>
              </a:ext>
            </a:extLst>
          </xdr:cNvPr>
          <xdr:cNvGrpSpPr/>
        </xdr:nvGrpSpPr>
        <xdr:grpSpPr>
          <a:xfrm>
            <a:off x="323850" y="5438775"/>
            <a:ext cx="5981700" cy="4981575"/>
            <a:chOff x="609600" y="1524000"/>
            <a:chExt cx="5695950" cy="4572000"/>
          </a:xfrm>
        </xdr:grpSpPr>
        <xdr:sp macro="" textlink="">
          <xdr:nvSpPr>
            <xdr:cNvPr id="59" name="文本_教程背景" descr="背景">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0" name="文本_教程标题" descr="结合使用文本和数字">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结合使用文本和数字</a:t>
              </a:r>
            </a:p>
          </xdr:txBody>
        </xdr:sp>
        <xdr:cxnSp macro="">
          <xdr:nvCxnSpPr>
            <xdr:cNvPr id="61" name="文本_教程线条 1" descr="装饰性线条">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文本_教程线条 2" descr="装饰性线条">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文本_教程简介" descr="现在我们将使用 &amp; 联接文本和数字，而不仅仅是文本和文本&#10;&#10;请看单元格 C28:D29。看看日期和时间如何显示在单独的单元格中？可以如单元格 C32:C33 中所示，使用 &amp; 符号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TEXT 函数和格式代码实现此操作。&#10;">
              <a:extLst>
                <a:ext uri="{FF2B5EF4-FFF2-40B4-BE49-F238E27FC236}">
                  <a16:creationId xmlns:a16="http://schemas.microsoft.com/office/drawing/2014/main" id="{C837975A-6100-4DEA-8950-C7ADB7AEACCB}"/>
                </a:ext>
              </a:extLst>
            </xdr:cNvPr>
            <xdr:cNvSpPr txBox="1"/>
          </xdr:nvSpPr>
          <xdr:spPr>
            <a:xfrm>
              <a:off x="846305" y="2224167"/>
              <a:ext cx="5216551" cy="322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现在我们将使用 &amp; 联接文本和数字，而不仅仅是文本和文本</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请看单元格 C28:D29。看看日期和时间如何显示在单独的单元格中？可以如单元格 C32:C33 中所示使用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符合将其联接起来，但看起来并不正确，对吗？遗憾的是，Excel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函数和格式代码实现此操作。</a:t>
              </a:r>
            </a:p>
          </xdr:txBody>
        </xdr:sp>
      </xdr:grpSp>
      <xdr:grpSp>
        <xdr:nvGrpSpPr>
          <xdr:cNvPr id="64" name="组_步骤">
            <a:extLst>
              <a:ext uri="{FF2B5EF4-FFF2-40B4-BE49-F238E27FC236}">
                <a16:creationId xmlns:a16="http://schemas.microsoft.com/office/drawing/2014/main" id="{C6BDB8A3-21FE-4EAA-A451-F595D7A1CFD1}"/>
              </a:ext>
            </a:extLst>
          </xdr:cNvPr>
          <xdr:cNvGrpSpPr/>
        </xdr:nvGrpSpPr>
        <xdr:grpSpPr>
          <a:xfrm>
            <a:off x="572259" y="8090391"/>
            <a:ext cx="5276092" cy="656455"/>
            <a:chOff x="619063" y="7637480"/>
            <a:chExt cx="5024842" cy="596207"/>
          </a:xfrm>
        </xdr:grpSpPr>
        <xdr:sp macro="" textlink="">
          <xdr:nvSpPr>
            <xdr:cNvPr id="65" name="文本_步骤" descr="在单元格 C36 中，输入 =C28&amp;&quot; &quot;&amp;TEXT(D28,&quot;MM/DD/YYYY&quot;)。YYYY/MM/DD 是年/月/日的中文格式代码，如 2017/09/25。&#10;&#10;">
              <a:extLst>
                <a:ext uri="{FF2B5EF4-FFF2-40B4-BE49-F238E27FC236}">
                  <a16:creationId xmlns:a16="http://schemas.microsoft.com/office/drawing/2014/main" id="{DDE71C24-EA69-4FB1-9319-E270E463554C}"/>
                </a:ext>
              </a:extLst>
            </xdr:cNvPr>
            <xdr:cNvSpPr txBox="1"/>
          </xdr:nvSpPr>
          <xdr:spPr>
            <a:xfrm>
              <a:off x="1036222" y="7679438"/>
              <a:ext cx="460768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C36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=C28&amp;" "&amp;TEXT(D28,</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en-US"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YYYY</a:t>
              </a:r>
              <a:r>
                <a:rPr lang="zh-CN"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年</a:t>
              </a:r>
              <a:r>
                <a:rPr lang="en-US"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M</a:t>
              </a:r>
              <a:r>
                <a:rPr lang="zh-CN"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月</a:t>
              </a:r>
              <a:r>
                <a:rPr lang="en-US"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D</a:t>
              </a:r>
              <a:r>
                <a:rPr lang="zh-CN"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是年/月/日的中文格式代码，如 2017</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9</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25</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6" name="形状_步骤" descr="1">
              <a:extLst>
                <a:ext uri="{FF2B5EF4-FFF2-40B4-BE49-F238E27FC236}">
                  <a16:creationId xmlns:a16="http://schemas.microsoft.com/office/drawing/2014/main" id="{8E23CA67-4E1A-43D7-84B1-192836614566}"/>
                </a:ext>
              </a:extLst>
            </xdr:cNvPr>
            <xdr:cNvSpPr/>
          </xdr:nvSpPr>
          <xdr:spPr>
            <a:xfrm>
              <a:off x="619063" y="7637480"/>
              <a:ext cx="372191" cy="3563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67" name="组_步骤">
            <a:extLst>
              <a:ext uri="{FF2B5EF4-FFF2-40B4-BE49-F238E27FC236}">
                <a16:creationId xmlns:a16="http://schemas.microsoft.com/office/drawing/2014/main" id="{400221E8-F2AA-445E-86DD-DDE14B5B3DC8}"/>
              </a:ext>
            </a:extLst>
          </xdr:cNvPr>
          <xdr:cNvGrpSpPr/>
        </xdr:nvGrpSpPr>
        <xdr:grpSpPr>
          <a:xfrm>
            <a:off x="572259" y="8796806"/>
            <a:ext cx="5455490" cy="656455"/>
            <a:chOff x="619063" y="7698037"/>
            <a:chExt cx="5195697" cy="596207"/>
          </a:xfrm>
        </xdr:grpSpPr>
        <xdr:sp macro="" textlink="">
          <xdr:nvSpPr>
            <xdr:cNvPr id="68" name="文本_步骤" descr="在单元格 C37 中，输入 =C29&amp;&quot; &quot;&amp;TEXT(D29,&quot;HH:MM AM/PM&quot;)。AM/PM HH:MM 是上午或下午小时:分钟的中文格式代码，如下午 1:30。&#10;">
              <a:extLst>
                <a:ext uri="{FF2B5EF4-FFF2-40B4-BE49-F238E27FC236}">
                  <a16:creationId xmlns:a16="http://schemas.microsoft.com/office/drawing/2014/main" id="{CEB49487-C445-4B69-9112-51698E7250F2}"/>
                </a:ext>
              </a:extLst>
            </xdr:cNvPr>
            <xdr:cNvSpPr txBox="1"/>
          </xdr:nvSpPr>
          <xdr:spPr>
            <a:xfrm>
              <a:off x="1036221" y="7739995"/>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C37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=C29&amp;" "&amp;TEXT(D29,"H:MM")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。H:MM是上午或下午小时:分钟的中式格式代码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:30</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endPar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2">
              <a:extLst>
                <a:ext uri="{FF2B5EF4-FFF2-40B4-BE49-F238E27FC236}">
                  <a16:creationId xmlns:a16="http://schemas.microsoft.com/office/drawing/2014/main" id="{D170A5A8-EB2A-420E-AFF9-3414BA79F7BF}"/>
                </a:ext>
              </a:extLst>
            </xdr:cNvPr>
            <xdr:cNvSpPr/>
          </xdr:nvSpPr>
          <xdr:spPr>
            <a:xfrm>
              <a:off x="619063" y="7698037"/>
              <a:ext cx="372191" cy="3563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542925</xdr:colOff>
      <xdr:row>44</xdr:row>
      <xdr:rowOff>28575</xdr:rowOff>
    </xdr:from>
    <xdr:to>
      <xdr:col>1</xdr:col>
      <xdr:colOff>722720</xdr:colOff>
      <xdr:row>45</xdr:row>
      <xdr:rowOff>154474</xdr:rowOff>
    </xdr:to>
    <xdr:sp macro="" textlink="">
      <xdr:nvSpPr>
        <xdr:cNvPr id="70" name="上一个工作表按钮" descr="返回到上一个工作表">
          <a:hlinkClick xmlns:r="http://schemas.openxmlformats.org/officeDocument/2006/relationships" r:id="rId1" tooltip="单击此处可返回到上一个工作表"/>
          <a:extLst>
            <a:ext uri="{FF2B5EF4-FFF2-40B4-BE49-F238E27FC236}">
              <a16:creationId xmlns:a16="http://schemas.microsoft.com/office/drawing/2014/main" id="{DCA6AC04-F66C-44EC-86B5-CE167DBCCA5F}"/>
            </a:ext>
          </a:extLst>
        </xdr:cNvPr>
        <xdr:cNvSpPr/>
      </xdr:nvSpPr>
      <xdr:spPr>
        <a:xfrm flipH="1">
          <a:off x="542925" y="98012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xdr:twoCellAnchor>
  <xdr:twoCellAnchor editAs="absolute">
    <xdr:from>
      <xdr:col>1</xdr:col>
      <xdr:colOff>3465561</xdr:colOff>
      <xdr:row>44</xdr:row>
      <xdr:rowOff>28575</xdr:rowOff>
    </xdr:from>
    <xdr:to>
      <xdr:col>1</xdr:col>
      <xdr:colOff>4740731</xdr:colOff>
      <xdr:row>45</xdr:row>
      <xdr:rowOff>154474</xdr:rowOff>
    </xdr:to>
    <xdr:sp macro="" textlink="">
      <xdr:nvSpPr>
        <xdr:cNvPr id="71" name="“下一步”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625A78A7-925A-4E8E-B9FF-D88914AFC403}"/>
            </a:ext>
          </a:extLst>
        </xdr:cNvPr>
        <xdr:cNvSpPr/>
      </xdr:nvSpPr>
      <xdr:spPr>
        <a:xfrm>
          <a:off x="4560936" y="98012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editAs="absolute">
    <xdr:from>
      <xdr:col>1</xdr:col>
      <xdr:colOff>5205412</xdr:colOff>
      <xdr:row>39</xdr:row>
      <xdr:rowOff>57150</xdr:rowOff>
    </xdr:from>
    <xdr:to>
      <xdr:col>4</xdr:col>
      <xdr:colOff>25928</xdr:colOff>
      <xdr:row>47</xdr:row>
      <xdr:rowOff>96309</xdr:rowOff>
    </xdr:to>
    <xdr:grpSp>
      <xdr:nvGrpSpPr>
        <xdr:cNvPr id="72" name="值得一读" descr="值得一读">
          <a:extLst>
            <a:ext uri="{FF2B5EF4-FFF2-40B4-BE49-F238E27FC236}">
              <a16:creationId xmlns:a16="http://schemas.microsoft.com/office/drawing/2014/main" id="{D3F697DB-2CF8-4D23-9E17-2125613D49A8}"/>
            </a:ext>
          </a:extLst>
        </xdr:cNvPr>
        <xdr:cNvGrpSpPr/>
      </xdr:nvGrpSpPr>
      <xdr:grpSpPr>
        <a:xfrm>
          <a:off x="6300787" y="8782050"/>
          <a:ext cx="3335866" cy="1715559"/>
          <a:chOff x="8477250" y="8591549"/>
          <a:chExt cx="3314700" cy="1504951"/>
        </a:xfrm>
      </xdr:grpSpPr>
      <xdr:pic>
        <xdr:nvPicPr>
          <xdr:cNvPr id="73" name="图形 9" descr="徒步旅行">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步骤" descr="值得一读&#10;如果不知道使用什么格式代码，可以使用“Ctrl+1”&gt;“数字”，以所需方式设置任何单元格的格式。然后选择“自定义”选项。可以将显示的格式代码复制回公式中。&#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值得一读</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如果不知道使用什么格式代码，可以使用</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Ctrl+1</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数字</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”，以所需方式设置任何单元格的格式。然后选择</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“自定义</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选项。可以将显示的格式代码复制回公式中。</a:t>
            </a:r>
            <a:endParaRPr lang="en-US" sz="1100" b="0" i="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58</xdr:row>
      <xdr:rowOff>76199</xdr:rowOff>
    </xdr:to>
    <xdr:grpSp>
      <xdr:nvGrpSpPr>
        <xdr:cNvPr id="110" name="组 109">
          <a:extLst>
            <a:ext uri="{FF2B5EF4-FFF2-40B4-BE49-F238E27FC236}">
              <a16:creationId xmlns:a16="http://schemas.microsoft.com/office/drawing/2014/main" id="{AB7C580B-2584-48A5-99EE-E42C35C6718F}"/>
            </a:ext>
          </a:extLst>
        </xdr:cNvPr>
        <xdr:cNvGrpSpPr/>
      </xdr:nvGrpSpPr>
      <xdr:grpSpPr>
        <a:xfrm>
          <a:off x="323850" y="10506074"/>
          <a:ext cx="5980938" cy="2276475"/>
          <a:chOff x="323850" y="9629774"/>
          <a:chExt cx="5733288" cy="2066925"/>
        </a:xfrm>
      </xdr:grpSpPr>
      <xdr:sp macro="" textlink="">
        <xdr:nvSpPr>
          <xdr:cNvPr id="76" name="矩形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77" name="步骤" descr="访问网页获取详细信息&#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直接连接符​​ 77" descr="装饰性线条">
            <a:extLst>
              <a:ext uri="{FF2B5EF4-FFF2-40B4-BE49-F238E27FC236}">
                <a16:creationId xmlns:a16="http://schemas.microsoft.com/office/drawing/2014/main" id="{6A596E50-2AB3-4D41-8DBA-1063C5CB2B61}"/>
              </a:ext>
            </a:extLst>
          </xdr:cNvPr>
          <xdr:cNvCxnSpPr>
            <a:cxnSpLocks/>
          </xdr:cNvCxnSpPr>
        </xdr:nvCxnSpPr>
        <xdr:spPr>
          <a:xfrm>
            <a:off x="558613" y="1016655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接连接符 78" descr="装饰性线条">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50</xdr:row>
      <xdr:rowOff>104951</xdr:rowOff>
    </xdr:from>
    <xdr:to>
      <xdr:col>1</xdr:col>
      <xdr:colOff>2572868</xdr:colOff>
      <xdr:row>52</xdr:row>
      <xdr:rowOff>80567</xdr:rowOff>
    </xdr:to>
    <xdr:grpSp>
      <xdr:nvGrpSpPr>
        <xdr:cNvPr id="29" name="组 28">
          <a:extLst>
            <a:ext uri="{FF2B5EF4-FFF2-40B4-BE49-F238E27FC236}">
              <a16:creationId xmlns:a16="http://schemas.microsoft.com/office/drawing/2014/main" id="{56EB2164-D147-400B-8F32-5162F0FB9573}"/>
            </a:ext>
          </a:extLst>
        </xdr:cNvPr>
        <xdr:cNvGrpSpPr/>
      </xdr:nvGrpSpPr>
      <xdr:grpSpPr>
        <a:xfrm>
          <a:off x="535207" y="11134901"/>
          <a:ext cx="3133036" cy="394716"/>
          <a:chOff x="535207" y="10201451"/>
          <a:chExt cx="2885386" cy="356616"/>
        </a:xfrm>
      </xdr:grpSpPr>
      <xdr:sp macro="" textlink="">
        <xdr:nvSpPr>
          <xdr:cNvPr id="80" name="步骤" descr="有关 TEXT 函数的全部内容&#10;&#10;&#10;">
            <a:hlinkClick xmlns:r="http://schemas.openxmlformats.org/officeDocument/2006/relationships" r:id="rId5" tooltip="选择此处，从网页上了解有关 TEXT 函数的全部内容"/>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81"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52</xdr:row>
      <xdr:rowOff>126167</xdr:rowOff>
    </xdr:from>
    <xdr:to>
      <xdr:col>1</xdr:col>
      <xdr:colOff>2601630</xdr:colOff>
      <xdr:row>54</xdr:row>
      <xdr:rowOff>101783</xdr:rowOff>
    </xdr:to>
    <xdr:grpSp>
      <xdr:nvGrpSpPr>
        <xdr:cNvPr id="28" name="组 27">
          <a:extLst>
            <a:ext uri="{FF2B5EF4-FFF2-40B4-BE49-F238E27FC236}">
              <a16:creationId xmlns:a16="http://schemas.microsoft.com/office/drawing/2014/main" id="{EA729A85-5078-41D7-B98C-429FBA889789}"/>
            </a:ext>
          </a:extLst>
        </xdr:cNvPr>
        <xdr:cNvGrpSpPr/>
      </xdr:nvGrpSpPr>
      <xdr:grpSpPr>
        <a:xfrm>
          <a:off x="535207" y="11575217"/>
          <a:ext cx="3161798" cy="394716"/>
          <a:chOff x="535207" y="10603667"/>
          <a:chExt cx="2914148" cy="356616"/>
        </a:xfrm>
      </xdr:grpSpPr>
      <xdr:sp macro="" textlink="">
        <xdr:nvSpPr>
          <xdr:cNvPr id="82" name="步骤" descr="合并文本和数字，超链接到网页&#10;">
            <a:hlinkClick xmlns:r="http://schemas.openxmlformats.org/officeDocument/2006/relationships" r:id="rId8" tooltip="选择此处，从网页上了解合并文本和数字的全部内容"/>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合并文本</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和数字</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3"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54</xdr:row>
      <xdr:rowOff>152717</xdr:rowOff>
    </xdr:from>
    <xdr:to>
      <xdr:col>1</xdr:col>
      <xdr:colOff>2220615</xdr:colOff>
      <xdr:row>56</xdr:row>
      <xdr:rowOff>128333</xdr:rowOff>
    </xdr:to>
    <xdr:grpSp>
      <xdr:nvGrpSpPr>
        <xdr:cNvPr id="19" name="组 18">
          <a:extLst>
            <a:ext uri="{FF2B5EF4-FFF2-40B4-BE49-F238E27FC236}">
              <a16:creationId xmlns:a16="http://schemas.microsoft.com/office/drawing/2014/main" id="{8908DE80-CBDC-46BF-A1D9-D258E3790FF2}"/>
            </a:ext>
          </a:extLst>
        </xdr:cNvPr>
        <xdr:cNvGrpSpPr/>
      </xdr:nvGrpSpPr>
      <xdr:grpSpPr>
        <a:xfrm>
          <a:off x="547899" y="12020867"/>
          <a:ext cx="2768091" cy="394716"/>
          <a:chOff x="547899" y="11011217"/>
          <a:chExt cx="2520441" cy="356616"/>
        </a:xfrm>
      </xdr:grpSpPr>
      <xdr:sp macro="" textlink="">
        <xdr:nvSpPr>
          <xdr:cNvPr id="84"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85" name="图形 22" descr="箭头">
            <a:hlinkClick xmlns:r="http://schemas.openxmlformats.org/officeDocument/2006/relationships" r:id="rId9" tooltip="选择此处，从网页上了解详细信息"/>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2" name="组合 85">
          <a:extLst>
            <a:ext uri="{FF2B5EF4-FFF2-40B4-BE49-F238E27FC236}">
              <a16:creationId xmlns:a16="http://schemas.microsoft.com/office/drawing/2014/main" id="{025CCBF7-5774-45B0-AED0-1483B02D4A47}"/>
            </a:ext>
          </a:extLst>
        </xdr:cNvPr>
        <xdr:cNvGrpSpPr/>
      </xdr:nvGrpSpPr>
      <xdr:grpSpPr>
        <a:xfrm>
          <a:off x="333375" y="352425"/>
          <a:ext cx="5981700" cy="4972050"/>
          <a:chOff x="333375" y="352425"/>
          <a:chExt cx="5981700" cy="4972050"/>
        </a:xfrm>
      </xdr:grpSpPr>
      <xdr:grpSp>
        <xdr:nvGrpSpPr>
          <xdr:cNvPr id="87" name="组_教程窗格">
            <a:extLst>
              <a:ext uri="{FF2B5EF4-FFF2-40B4-BE49-F238E27FC236}">
                <a16:creationId xmlns:a16="http://schemas.microsoft.com/office/drawing/2014/main" id="{A96CA760-E119-42E0-81B0-6FF77D9AC3C8}"/>
              </a:ext>
            </a:extLst>
          </xdr:cNvPr>
          <xdr:cNvGrpSpPr/>
        </xdr:nvGrpSpPr>
        <xdr:grpSpPr>
          <a:xfrm>
            <a:off x="333375" y="352425"/>
            <a:ext cx="5981700" cy="4972050"/>
            <a:chOff x="609600" y="1524000"/>
            <a:chExt cx="5695950" cy="4572000"/>
          </a:xfrm>
        </xdr:grpSpPr>
        <xdr:sp macro="" textlink="">
          <xdr:nvSpPr>
            <xdr:cNvPr id="97" name="文本_教程背景" descr="背景">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8" name="文本_教程标题" descr="联接不同单元格中的文本">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联接不同单元格中的文本</a:t>
              </a:r>
            </a:p>
          </xdr:txBody>
        </xdr:sp>
        <xdr:cxnSp macro="">
          <xdr:nvCxnSpPr>
            <xdr:cNvPr id="99" name="文本_教程线条 1" descr="装饰性线条">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文本_教程线条 2" descr="装饰性线条">
              <a:extLst>
                <a:ext uri="{FF2B5EF4-FFF2-40B4-BE49-F238E27FC236}">
                  <a16:creationId xmlns:a16="http://schemas.microsoft.com/office/drawing/2014/main" id="{D1E1815B-B93B-4FAB-BF34-F8EBD480D0BC}"/>
                </a:ext>
              </a:extLst>
            </xdr:cNvPr>
            <xdr:cNvCxnSpPr>
              <a:cxnSpLocks/>
            </xdr:cNvCxnSpPr>
          </xdr:nvCxnSpPr>
          <xdr:spPr>
            <a:xfrm>
              <a:off x="850887" y="525882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文本_教程简介" descr="有很多时候，需要在 Excel 中联接位于不同单元格的文本。此示例很常见，比如名字和姓氏，希望将其合并为名字、姓氏或完整名字。所幸，Excel​​ 可使用 &amp; 号执行该操作 (Shift+7)。">
              <a:extLst>
                <a:ext uri="{FF2B5EF4-FFF2-40B4-BE49-F238E27FC236}">
                  <a16:creationId xmlns:a16="http://schemas.microsoft.com/office/drawing/2014/main" id="{D2702511-4771-4838-A3C1-0C5BA687014B}"/>
                </a:ext>
              </a:extLst>
            </xdr:cNvPr>
            <xdr:cNvSpPr txBox="1"/>
          </xdr:nvSpPr>
          <xdr:spPr>
            <a:xfrm>
              <a:off x="846305" y="2224166"/>
              <a:ext cx="5216551" cy="745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有很多时候，需要在 Excel 中联接位于不同单元格的文本。此示例很常见，比如名字和姓氏，希望将其合并为名字、姓氏或完整名字。所幸，Excel 允许我们使用与号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执行该操作，使用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Shift+7</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即可输入。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grpSp>
        <xdr:nvGrpSpPr>
          <xdr:cNvPr id="88" name="组_步骤">
            <a:extLst>
              <a:ext uri="{FF2B5EF4-FFF2-40B4-BE49-F238E27FC236}">
                <a16:creationId xmlns:a16="http://schemas.microsoft.com/office/drawing/2014/main" id="{C22B3EA9-DB64-4F67-BB25-AB505C9F6071}"/>
              </a:ext>
            </a:extLst>
          </xdr:cNvPr>
          <xdr:cNvGrpSpPr/>
        </xdr:nvGrpSpPr>
        <xdr:grpSpPr>
          <a:xfrm>
            <a:off x="581784" y="2066565"/>
            <a:ext cx="5445554" cy="648375"/>
            <a:chOff x="590674" y="7757946"/>
            <a:chExt cx="5186234" cy="596207"/>
          </a:xfrm>
        </xdr:grpSpPr>
        <xdr:sp macro="" textlink="">
          <xdr:nvSpPr>
            <xdr:cNvPr id="95" name="文本_步骤" descr="在单元格 E3 中，输入 =D3&amp;C3 以联接姓氏和名字。 ">
              <a:extLst>
                <a:ext uri="{FF2B5EF4-FFF2-40B4-BE49-F238E27FC236}">
                  <a16:creationId xmlns:a16="http://schemas.microsoft.com/office/drawing/2014/main" id="{2019278A-5B82-42D4-A9E1-AB92ED21BA21}"/>
                </a:ext>
              </a:extLst>
            </xdr:cNvPr>
            <xdr:cNvSpPr txBox="1"/>
          </xdr:nvSpPr>
          <xdr:spPr>
            <a:xfrm>
              <a:off x="998369" y="7799904"/>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E3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以联接姓氏和名字。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6" name="形状_步骤" descr="1">
              <a:extLst>
                <a:ext uri="{FF2B5EF4-FFF2-40B4-BE49-F238E27FC236}">
                  <a16:creationId xmlns:a16="http://schemas.microsoft.com/office/drawing/2014/main" id="{08E6959D-49D7-4904-81A7-E70CA3454C0B}"/>
                </a:ext>
              </a:extLst>
            </xdr:cNvPr>
            <xdr:cNvSpPr/>
          </xdr:nvSpPr>
          <xdr:spPr>
            <a:xfrm>
              <a:off x="590674" y="775794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9" name="组_步骤">
            <a:extLst>
              <a:ext uri="{FF2B5EF4-FFF2-40B4-BE49-F238E27FC236}">
                <a16:creationId xmlns:a16="http://schemas.microsoft.com/office/drawing/2014/main" id="{2404CB22-1164-47A4-9503-5F5194382641}"/>
              </a:ext>
            </a:extLst>
          </xdr:cNvPr>
          <xdr:cNvGrpSpPr/>
        </xdr:nvGrpSpPr>
        <xdr:grpSpPr>
          <a:xfrm>
            <a:off x="581784" y="2651818"/>
            <a:ext cx="5445554" cy="777180"/>
            <a:chOff x="590674" y="7757946"/>
            <a:chExt cx="5186234" cy="714648"/>
          </a:xfrm>
        </xdr:grpSpPr>
        <xdr:sp macro="" textlink="">
          <xdr:nvSpPr>
            <xdr:cNvPr id="93" name="文本_步骤" descr="但 SmithNancy 看起来并不正确。我们需要添加一个逗号和一个空格。为此，我们要使用引号新建文本字符串。这一次，输入 =D3&amp;&quot;, &quot;&amp;C3。&amp;&quot;, &quot;&amp; 部分允许我们将逗号和冒号与单元格中的文本进行联接。&#10;">
              <a:extLst>
                <a:ext uri="{FF2B5EF4-FFF2-40B4-BE49-F238E27FC236}">
                  <a16:creationId xmlns:a16="http://schemas.microsoft.com/office/drawing/2014/main" id="{08674DB0-339E-4450-B5D1-99B77DC0D664}"/>
                </a:ext>
              </a:extLst>
            </xdr:cNvPr>
            <xdr:cNvSpPr txBox="1"/>
          </xdr:nvSpPr>
          <xdr:spPr>
            <a:xfrm>
              <a:off x="998369" y="7771329"/>
              <a:ext cx="4778539" cy="70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但 SmithNancy 看起来并不正确。我们需要添加一个逗号和一个空格。为此，我们要使用引号新建文本字符串。这一次，输入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 "&amp;C3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 "&amp;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部分允许我们将逗号和空格与单元格中的文本进行联接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4" name="形状_步骤" descr="2">
              <a:extLst>
                <a:ext uri="{FF2B5EF4-FFF2-40B4-BE49-F238E27FC236}">
                  <a16:creationId xmlns:a16="http://schemas.microsoft.com/office/drawing/2014/main" id="{5F7A5327-6FDF-46BB-9B7E-8EB24A3ABBF2}"/>
                </a:ext>
              </a:extLst>
            </xdr:cNvPr>
            <xdr:cNvSpPr/>
          </xdr:nvSpPr>
          <xdr:spPr>
            <a:xfrm>
              <a:off x="590674" y="775794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90" name="组_步骤">
            <a:extLst>
              <a:ext uri="{FF2B5EF4-FFF2-40B4-BE49-F238E27FC236}">
                <a16:creationId xmlns:a16="http://schemas.microsoft.com/office/drawing/2014/main" id="{C702821E-6BD4-4022-98BD-DE7E30FD3E4C}"/>
              </a:ext>
            </a:extLst>
          </xdr:cNvPr>
          <xdr:cNvGrpSpPr/>
        </xdr:nvGrpSpPr>
        <xdr:grpSpPr>
          <a:xfrm>
            <a:off x="581784" y="3605445"/>
            <a:ext cx="5445554" cy="648377"/>
            <a:chOff x="590674" y="7696633"/>
            <a:chExt cx="5186234" cy="596209"/>
          </a:xfrm>
        </xdr:grpSpPr>
        <xdr:sp macro="" textlink="">
          <xdr:nvSpPr>
            <xdr:cNvPr id="91" name="文本_步骤" descr="为了创建完整的名字，我们先使用空格（但不带逗号）联接名字和姓氏。在 F3 中，输入 =C3&amp;&quot; &quot;&amp;D3。">
              <a:extLst>
                <a:ext uri="{FF2B5EF4-FFF2-40B4-BE49-F238E27FC236}">
                  <a16:creationId xmlns:a16="http://schemas.microsoft.com/office/drawing/2014/main" id="{CEF374DD-E735-4BAD-8507-D3231A999B36}"/>
                </a:ext>
              </a:extLst>
            </xdr:cNvPr>
            <xdr:cNvSpPr txBox="1"/>
          </xdr:nvSpPr>
          <xdr:spPr>
            <a:xfrm>
              <a:off x="998369" y="773859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为了创建完整的名字，我们先使用空格（但不带逗号）联接名字和姓氏。在 F3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=C3&amp;" "&amp;D3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2" name="形状_步骤" descr="3">
              <a:extLst>
                <a:ext uri="{FF2B5EF4-FFF2-40B4-BE49-F238E27FC236}">
                  <a16:creationId xmlns:a16="http://schemas.microsoft.com/office/drawing/2014/main" id="{9477BB36-AB74-47F3-A687-1A347B7E572C}"/>
                </a:ext>
              </a:extLst>
            </xdr:cNvPr>
            <xdr:cNvSpPr/>
          </xdr:nvSpPr>
          <xdr:spPr>
            <a:xfrm>
              <a:off x="590674" y="7696633"/>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581025</xdr:colOff>
      <xdr:row>19</xdr:row>
      <xdr:rowOff>95250</xdr:rowOff>
    </xdr:from>
    <xdr:to>
      <xdr:col>1</xdr:col>
      <xdr:colOff>2226932</xdr:colOff>
      <xdr:row>22</xdr:row>
      <xdr:rowOff>2287</xdr:rowOff>
    </xdr:to>
    <xdr:sp macro="" textlink="">
      <xdr:nvSpPr>
        <xdr:cNvPr id="102" name="按钮_深入学习" descr="向下滚动查看更多详细信息">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62915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1</xdr:col>
      <xdr:colOff>3465561</xdr:colOff>
      <xdr:row>19</xdr:row>
      <xdr:rowOff>95250</xdr:rowOff>
    </xdr:from>
    <xdr:to>
      <xdr:col>1</xdr:col>
      <xdr:colOff>4740731</xdr:colOff>
      <xdr:row>21</xdr:row>
      <xdr:rowOff>11599</xdr:rowOff>
    </xdr:to>
    <xdr:sp macro="" textlink="">
      <xdr:nvSpPr>
        <xdr:cNvPr id="103" name="“下一步”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2DE05C84-7047-4122-A2D6-137F3AEDBF12}"/>
            </a:ext>
          </a:extLst>
        </xdr:cNvPr>
        <xdr:cNvSpPr/>
      </xdr:nvSpPr>
      <xdr:spPr>
        <a:xfrm>
          <a:off x="4560936" y="46291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4</xdr:col>
      <xdr:colOff>57151</xdr:colOff>
      <xdr:row>33</xdr:row>
      <xdr:rowOff>76200</xdr:rowOff>
    </xdr:from>
    <xdr:to>
      <xdr:col>6</xdr:col>
      <xdr:colOff>571501</xdr:colOff>
      <xdr:row>40</xdr:row>
      <xdr:rowOff>19051</xdr:rowOff>
    </xdr:to>
    <xdr:grpSp>
      <xdr:nvGrpSpPr>
        <xdr:cNvPr id="104" name="看看这个" descr="看看这个&#10;&#10;">
          <a:extLst>
            <a:ext uri="{FF2B5EF4-FFF2-40B4-BE49-F238E27FC236}">
              <a16:creationId xmlns:a16="http://schemas.microsoft.com/office/drawing/2014/main" id="{EFD4E48E-5D2B-4B5E-9DBB-99430A62BD96}"/>
            </a:ext>
          </a:extLst>
        </xdr:cNvPr>
        <xdr:cNvGrpSpPr/>
      </xdr:nvGrpSpPr>
      <xdr:grpSpPr>
        <a:xfrm>
          <a:off x="9667876" y="7543800"/>
          <a:ext cx="3895725" cy="1409701"/>
          <a:chOff x="7539454" y="7993902"/>
          <a:chExt cx="3895534" cy="1409701"/>
        </a:xfrm>
      </xdr:grpSpPr>
      <xdr:grpSp>
        <xdr:nvGrpSpPr>
          <xdr:cNvPr id="105" name="括号线">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另一条括号线" descr="括号线">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09" name="括号线" descr="括号线&#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06" name="星星" descr="星星">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说明" descr="看看这个&#10;公式，尤其是较长的公式，有时可能难以阅读，但可以使用空格将其分解为如下所示的几部分：&#10;&#10;=C28 &amp; &quot; &quot; &amp; TEXT(D28,&quot;MM/DD/YYYY&quot;)&#10;">
            <a:extLst>
              <a:ext uri="{FF2B5EF4-FFF2-40B4-BE49-F238E27FC236}">
                <a16:creationId xmlns:a16="http://schemas.microsoft.com/office/drawing/2014/main" id="{E1E6E972-A734-4953-9B25-6280E9FDC77E}"/>
              </a:ext>
            </a:extLst>
          </xdr:cNvPr>
          <xdr:cNvSpPr txBox="1"/>
        </xdr:nvSpPr>
        <xdr:spPr>
          <a:xfrm>
            <a:off x="8132527" y="7993902"/>
            <a:ext cx="3302461"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，尤其是较长的公式，有时可能难以阅读，但可以使用空格将其分解为如下所示的几部分：</a:t>
            </a:r>
          </a:p>
          <a:p>
            <a:pPr lvl="0" rtl="0">
              <a:defRPr/>
            </a:pP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=C28 &amp; " " &amp; TEXT(D28,"</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YYYY</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年</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M</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月</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D</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日</a:t>
            </a: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4981575</xdr:colOff>
      <xdr:row>21</xdr:row>
      <xdr:rowOff>28575</xdr:rowOff>
    </xdr:to>
    <xdr:grpSp>
      <xdr:nvGrpSpPr>
        <xdr:cNvPr id="4" name="组合 31">
          <a:extLst>
            <a:ext uri="{FF2B5EF4-FFF2-40B4-BE49-F238E27FC236}">
              <a16:creationId xmlns:a16="http://schemas.microsoft.com/office/drawing/2014/main" id="{3C689655-4212-4101-A12D-746E69AA7D06}"/>
            </a:ext>
          </a:extLst>
        </xdr:cNvPr>
        <xdr:cNvGrpSpPr/>
      </xdr:nvGrpSpPr>
      <xdr:grpSpPr>
        <a:xfrm>
          <a:off x="342900" y="361950"/>
          <a:ext cx="5734050" cy="4467225"/>
          <a:chOff x="342900" y="361950"/>
          <a:chExt cx="5734050" cy="4467225"/>
        </a:xfrm>
      </xdr:grpSpPr>
      <xdr:grpSp>
        <xdr:nvGrpSpPr>
          <xdr:cNvPr id="70" name="组 69">
            <a:extLst>
              <a:ext uri="{FF2B5EF4-FFF2-40B4-BE49-F238E27FC236}">
                <a16:creationId xmlns:a16="http://schemas.microsoft.com/office/drawing/2014/main" id="{070FF1E9-A14C-476A-A31F-8E531229B90A}"/>
              </a:ext>
            </a:extLst>
          </xdr:cNvPr>
          <xdr:cNvGrpSpPr/>
        </xdr:nvGrpSpPr>
        <xdr:grpSpPr>
          <a:xfrm>
            <a:off x="342900" y="361950"/>
            <a:ext cx="5734050" cy="4467225"/>
            <a:chOff x="342900" y="342900"/>
            <a:chExt cx="5734050" cy="4332438"/>
          </a:xfrm>
        </xdr:grpSpPr>
        <xdr:sp macro="" textlink="">
          <xdr:nvSpPr>
            <xdr:cNvPr id="76" name="文本_教程背景" descr="背景">
              <a:extLst>
                <a:ext uri="{FF2B5EF4-FFF2-40B4-BE49-F238E27FC236}">
                  <a16:creationId xmlns:a16="http://schemas.microsoft.com/office/drawing/2014/main" id="{32129052-3339-477F-8788-8EA08A10AD5C}"/>
                </a:ext>
              </a:extLst>
            </xdr:cNvPr>
            <xdr:cNvSpPr/>
          </xdr:nvSpPr>
          <xdr:spPr>
            <a:xfrm>
              <a:off x="342900" y="342900"/>
              <a:ext cx="5734050" cy="433243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77" name="文本_教程标题" descr="IF 语句">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a:t>
              </a:r>
              <a:endParaRPr kumimoji="0" lang="en-US" sz="22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文本_教程线条 1" descr="装饰性线条">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文本_教程线条 2" descr="装饰性线条">
              <a:extLst>
                <a:ext uri="{FF2B5EF4-FFF2-40B4-BE49-F238E27FC236}">
                  <a16:creationId xmlns:a16="http://schemas.microsoft.com/office/drawing/2014/main" id="{B9B7D386-28D6-4E40-BBBD-81C9A5683619}"/>
                </a:ext>
              </a:extLst>
            </xdr:cNvPr>
            <xdr:cNvCxnSpPr>
              <a:cxnSpLocks/>
            </xdr:cNvCxnSpPr>
          </xdr:nvCxnSpPr>
          <xdr:spPr>
            <a:xfrm>
              <a:off x="555628" y="386204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文本_教程简介" descr="通过 IF 语句，可以在条件之间进行逻辑比较。IF 语句通常指示某条件为 true 时，执行某项操作。条件为 false 时，则执行其他操作。公式可以返回文本、值或者更多计算。&#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通过 IF 语句，可以在条件之间进行逻辑比较。IF 语句通常指示某条件为 true 时执行某项操作，否则执行其他操作。公式可以返回文本、值或者更多计算。</a:t>
              </a:r>
            </a:p>
          </xdr:txBody>
        </xdr:sp>
      </xdr:grpSp>
      <xdr:grpSp>
        <xdr:nvGrpSpPr>
          <xdr:cNvPr id="81" name="组_步骤">
            <a:extLst>
              <a:ext uri="{FF2B5EF4-FFF2-40B4-BE49-F238E27FC236}">
                <a16:creationId xmlns:a16="http://schemas.microsoft.com/office/drawing/2014/main" id="{62718C28-6D67-47F6-B4B4-619E5B81F03D}"/>
              </a:ext>
            </a:extLst>
          </xdr:cNvPr>
          <xdr:cNvGrpSpPr/>
        </xdr:nvGrpSpPr>
        <xdr:grpSpPr>
          <a:xfrm>
            <a:off x="571500" y="1876425"/>
            <a:ext cx="5305429" cy="596207"/>
            <a:chOff x="666377" y="7724775"/>
            <a:chExt cx="5271008" cy="596207"/>
          </a:xfrm>
        </xdr:grpSpPr>
        <xdr:sp macro="" textlink="">
          <xdr:nvSpPr>
            <xdr:cNvPr id="82" name="文本_步骤" descr="在单元格 D9 中输入 =IF(C9=&quot;苹果&quot;,TRUE,FALSE)。正确答案为 TRUE。 &#10;&#10;&#10;">
              <a:extLst>
                <a:ext uri="{FF2B5EF4-FFF2-40B4-BE49-F238E27FC236}">
                  <a16:creationId xmlns:a16="http://schemas.microsoft.com/office/drawing/2014/main" id="{C9F56A19-70D3-4628-8709-84489EA24BB0}"/>
                </a:ext>
              </a:extLst>
            </xdr:cNvPr>
            <xdr:cNvSpPr txBox="1"/>
          </xdr:nvSpPr>
          <xdr:spPr>
            <a:xfrm>
              <a:off x="1074075" y="7766733"/>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D9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=IF(C9="苹果",TRUE,FALSE)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。正确答案为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TRUE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3" name="形状_步骤" descr="1">
              <a:extLst>
                <a:ext uri="{FF2B5EF4-FFF2-40B4-BE49-F238E27FC236}">
                  <a16:creationId xmlns:a16="http://schemas.microsoft.com/office/drawing/2014/main" id="{174BEEAC-1D05-4BA3-8D44-772CDEFA2E58}"/>
                </a:ext>
              </a:extLst>
            </xdr:cNvPr>
            <xdr:cNvSpPr/>
          </xdr:nvSpPr>
          <xdr:spPr>
            <a:xfrm>
              <a:off x="666377" y="7724775"/>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4" name="组_步骤">
            <a:extLst>
              <a:ext uri="{FF2B5EF4-FFF2-40B4-BE49-F238E27FC236}">
                <a16:creationId xmlns:a16="http://schemas.microsoft.com/office/drawing/2014/main" id="{685246AB-9501-4CF4-B780-BCFC62DE94CD}"/>
              </a:ext>
            </a:extLst>
          </xdr:cNvPr>
          <xdr:cNvGrpSpPr/>
        </xdr:nvGrpSpPr>
        <xdr:grpSpPr>
          <a:xfrm>
            <a:off x="571500" y="2454275"/>
            <a:ext cx="5220103" cy="596207"/>
            <a:chOff x="685304" y="7724775"/>
            <a:chExt cx="5186236" cy="596207"/>
          </a:xfrm>
        </xdr:grpSpPr>
        <xdr:sp macro="" textlink="">
          <xdr:nvSpPr>
            <xdr:cNvPr id="85" name="文本_步骤" descr="将 D9 复制到 D10。此处显示的答案应为 FALSE，因为橙子不是苹果。&#10;&#10;">
              <a:extLst>
                <a:ext uri="{FF2B5EF4-FFF2-40B4-BE49-F238E27FC236}">
                  <a16:creationId xmlns:a16="http://schemas.microsoft.com/office/drawing/2014/main" id="{D8F2AE5E-974E-4202-A290-3F2D0EFF00C4}"/>
                </a:ext>
              </a:extLst>
            </xdr:cNvPr>
            <xdr:cNvSpPr txBox="1"/>
          </xdr:nvSpPr>
          <xdr:spPr>
            <a:xfrm>
              <a:off x="1093001" y="776673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 D9 复制到 D10。此处显示的答案应为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，因为橙子不是苹果。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6" name="形状_步骤" descr="2">
              <a:extLst>
                <a:ext uri="{FF2B5EF4-FFF2-40B4-BE49-F238E27FC236}">
                  <a16:creationId xmlns:a16="http://schemas.microsoft.com/office/drawing/2014/main" id="{19487CBB-1C21-45D8-828F-6A02011E52A3}"/>
                </a:ext>
              </a:extLst>
            </xdr:cNvPr>
            <xdr:cNvSpPr/>
          </xdr:nvSpPr>
          <xdr:spPr>
            <a:xfrm>
              <a:off x="685304" y="77247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7" name="组_步骤">
            <a:extLst>
              <a:ext uri="{FF2B5EF4-FFF2-40B4-BE49-F238E27FC236}">
                <a16:creationId xmlns:a16="http://schemas.microsoft.com/office/drawing/2014/main" id="{90938F22-5BF3-4461-BD80-06D3D6849C8F}"/>
              </a:ext>
            </a:extLst>
          </xdr:cNvPr>
          <xdr:cNvGrpSpPr/>
        </xdr:nvGrpSpPr>
        <xdr:grpSpPr>
          <a:xfrm>
            <a:off x="571500" y="3045508"/>
            <a:ext cx="5220103" cy="831167"/>
            <a:chOff x="694767" y="7690533"/>
            <a:chExt cx="5186236" cy="831167"/>
          </a:xfrm>
        </xdr:grpSpPr>
        <xdr:sp macro="" textlink="">
          <xdr:nvSpPr>
            <xdr:cNvPr id="88" name="文本_步骤" descr="请通过查看单元格 D12 中的公式来尝试另一示例。首先输入 =IF(C12&lt;100,&quot;Less than 100&quot;,&quot;Greater than 100&quot;)。如果在单元格 C12 中输入大于 100 的数字，会怎样？&#10;&#10;&#10;">
              <a:extLst>
                <a:ext uri="{FF2B5EF4-FFF2-40B4-BE49-F238E27FC236}">
                  <a16:creationId xmlns:a16="http://schemas.microsoft.com/office/drawing/2014/main" id="{E7088066-5C93-42EC-B66E-113D20980BB7}"/>
                </a:ext>
              </a:extLst>
            </xdr:cNvPr>
            <xdr:cNvSpPr txBox="1"/>
          </xdr:nvSpPr>
          <xdr:spPr>
            <a:xfrm>
              <a:off x="1102464" y="7690533"/>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请通过查看单元格 D12 中的公式来尝试另一示例。首先输入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=IF(C12&lt;100,"</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小于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100","</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大于或等于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如果在单元格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12 中输入大于或等于 100 的数字， 会怎样？</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9" name="形状_步骤" descr="3">
              <a:extLst>
                <a:ext uri="{FF2B5EF4-FFF2-40B4-BE49-F238E27FC236}">
                  <a16:creationId xmlns:a16="http://schemas.microsoft.com/office/drawing/2014/main" id="{A56BE1C1-41E9-483F-8A60-96A96BBFD3A7}"/>
                </a:ext>
              </a:extLst>
            </xdr:cNvPr>
            <xdr:cNvSpPr/>
          </xdr:nvSpPr>
          <xdr:spPr>
            <a:xfrm>
              <a:off x="694767" y="7715251"/>
              <a:ext cx="372191" cy="32579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1</xdr:col>
      <xdr:colOff>3436422</xdr:colOff>
      <xdr:row>18</xdr:row>
      <xdr:rowOff>19050</xdr:rowOff>
    </xdr:from>
    <xdr:to>
      <xdr:col>1</xdr:col>
      <xdr:colOff>4711592</xdr:colOff>
      <xdr:row>19</xdr:row>
      <xdr:rowOff>144949</xdr:rowOff>
    </xdr:to>
    <xdr:sp macro="" textlink="">
      <xdr:nvSpPr>
        <xdr:cNvPr id="90" name="“下一步”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A98A8F02-A704-4521-9F8F-C54B0653E78B}"/>
            </a:ext>
          </a:extLst>
        </xdr:cNvPr>
        <xdr:cNvSpPr/>
      </xdr:nvSpPr>
      <xdr:spPr>
        <a:xfrm>
          <a:off x="4531797" y="41910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editAs="absolute">
    <xdr:from>
      <xdr:col>2</xdr:col>
      <xdr:colOff>58143</xdr:colOff>
      <xdr:row>13</xdr:row>
      <xdr:rowOff>77988</xdr:rowOff>
    </xdr:from>
    <xdr:to>
      <xdr:col>3</xdr:col>
      <xdr:colOff>2238386</xdr:colOff>
      <xdr:row>20</xdr:row>
      <xdr:rowOff>38098</xdr:rowOff>
    </xdr:to>
    <xdr:grpSp>
      <xdr:nvGrpSpPr>
        <xdr:cNvPr id="91" name="重要详细信息" descr="重要详细信息&#10;&#10;">
          <a:extLst>
            <a:ext uri="{FF2B5EF4-FFF2-40B4-BE49-F238E27FC236}">
              <a16:creationId xmlns:a16="http://schemas.microsoft.com/office/drawing/2014/main" id="{4DBA7152-B8FD-4056-917A-B7F06AE8B67E}"/>
            </a:ext>
          </a:extLst>
        </xdr:cNvPr>
        <xdr:cNvGrpSpPr/>
      </xdr:nvGrpSpPr>
      <xdr:grpSpPr>
        <a:xfrm>
          <a:off x="6792318" y="3221238"/>
          <a:ext cx="3656618" cy="1407910"/>
          <a:chOff x="6863991" y="11363325"/>
          <a:chExt cx="2736277" cy="1199442"/>
        </a:xfrm>
      </xdr:grpSpPr>
      <xdr:sp macro="" textlink="">
        <xdr:nvSpPr>
          <xdr:cNvPr id="92" name="说明" descr="重要详细信息&#10;TRUE 和 FALSE 与 Excel 公式中的其他词不同，因为它们无需用引号括起来，并且 Excel 会自动将其设为大写。数字也无需用引号括起来。常规文本，如 Yes 或 No 等词需用引号括起来，如下所示：=IF(C3=&quot;苹果&quot;,&quot;Yes&quot;,&quot;No&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TRUE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和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FALSE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与 Excel 公式中的其他词不同，因为它们无需用引号括起来，并且 Excel 会自动将其设为大写。数字也无需用引号括起来。常规文本，如</a:t>
            </a:r>
            <a:r>
              <a:rPr lang="en-US" alt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是</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否</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等词需用引号括起来，如下所示： </a:t>
            </a:r>
          </a:p>
          <a:p>
            <a:pPr rtl="0" eaLnBrk="1" fontAlgn="auto" latinLnBrk="0" hangingPunct="1"/>
            <a:r>
              <a:rPr lang="zh-cn" sz="1100" b="1" kern="1200">
                <a:solidFill>
                  <a:schemeClr val="dk1"/>
                </a:solidFill>
                <a:latin typeface="Microsoft YaHei UI" panose="020B0503020204020204" pitchFamily="34" charset="-122"/>
                <a:ea typeface="Microsoft YaHei UI" panose="020B0503020204020204" pitchFamily="34" charset="-122"/>
                <a:cs typeface="+mn-cs"/>
              </a:rPr>
              <a:t>=IF(C3="苹果","</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是</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否</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endParaRPr lang="en-US" sz="800" b="1">
              <a:effectLst/>
              <a:latin typeface="Microsoft YaHei UI" panose="020B0503020204020204" pitchFamily="34" charset="-122"/>
              <a:ea typeface="Microsoft YaHei UI" panose="020B0503020204020204" pitchFamily="34" charset="-122"/>
            </a:endParaRPr>
          </a:p>
        </xdr:txBody>
      </xdr:sp>
      <xdr:pic>
        <xdr:nvPicPr>
          <xdr:cNvPr id="93" name="放大镜" descr="放大镜">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5229225</xdr:colOff>
      <xdr:row>38</xdr:row>
      <xdr:rowOff>142875</xdr:rowOff>
    </xdr:from>
    <xdr:to>
      <xdr:col>3</xdr:col>
      <xdr:colOff>1647825</xdr:colOff>
      <xdr:row>44</xdr:row>
      <xdr:rowOff>142875</xdr:rowOff>
    </xdr:to>
    <xdr:grpSp>
      <xdr:nvGrpSpPr>
        <xdr:cNvPr id="94" name="专家提示" descr="专家提示">
          <a:extLst>
            <a:ext uri="{FF2B5EF4-FFF2-40B4-BE49-F238E27FC236}">
              <a16:creationId xmlns:a16="http://schemas.microsoft.com/office/drawing/2014/main" id="{4F3513E1-6B29-4E54-80FC-E2B36E732D7E}"/>
            </a:ext>
          </a:extLst>
        </xdr:cNvPr>
        <xdr:cNvGrpSpPr/>
      </xdr:nvGrpSpPr>
      <xdr:grpSpPr>
        <a:xfrm>
          <a:off x="6324600" y="8610600"/>
          <a:ext cx="3533775" cy="1257300"/>
          <a:chOff x="8448675" y="2143125"/>
          <a:chExt cx="2812587" cy="1249628"/>
        </a:xfrm>
      </xdr:grpSpPr>
      <xdr:pic>
        <xdr:nvPicPr>
          <xdr:cNvPr id="95" name="图形 2" descr="猫头鹰">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步骤" descr="专家提示&#10;命名区域使你可以定义某一位置的术语或值，然后将它们重复用于整个工作簿。通过转到“公式”&gt;“名称管理器”，你可以查看此工作簿中的所有命名区域。单击此处了解详细信息。&#10;">
            <a:hlinkClick xmlns:r="http://schemas.openxmlformats.org/officeDocument/2006/relationships" r:id="rId6" tooltip="单击此处，从网页上了解命名区域的详细信息。"/>
            <a:extLst>
              <a:ext uri="{FF2B5EF4-FFF2-40B4-BE49-F238E27FC236}">
                <a16:creationId xmlns:a16="http://schemas.microsoft.com/office/drawing/2014/main" id="{CDFC5BF1-DCF8-4B3F-9426-0E409672138F}"/>
              </a:ext>
            </a:extLst>
          </xdr:cNvPr>
          <xdr:cNvSpPr txBox="1"/>
        </xdr:nvSpPr>
        <xdr:spPr>
          <a:xfrm>
            <a:off x="8782052" y="2143125"/>
            <a:ext cx="2479210" cy="12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i="1" u="sng" kern="0">
                <a:solidFill>
                  <a:schemeClr val="accent1"/>
                </a:solidFill>
                <a:latin typeface="Microsoft YaHei UI" panose="020B0503020204020204" pitchFamily="34" charset="-122"/>
                <a:ea typeface="Microsoft YaHei UI" panose="020B0503020204020204" pitchFamily="34" charset="-122"/>
                <a:cs typeface="Segoe UI Light" panose="020B0502040204020203" pitchFamily="34" charset="0"/>
              </a:rPr>
              <a:t>命名区域</a:t>
            </a:r>
            <a:r>
              <a:rPr lang="en-US" altLang="zh-CN" sz="1100" b="1" i="1" u="sng" kern="0">
                <a:solidFill>
                  <a:schemeClr val="accent1"/>
                </a:solidFill>
                <a:latin typeface="Microsoft YaHei UI" panose="020B0503020204020204" pitchFamily="34" charset="-122"/>
                <a:ea typeface="Microsoft YaHei UI" panose="020B0503020204020204" pitchFamily="34" charset="-122"/>
                <a:cs typeface="Segoe UI Light" panose="020B0502040204020203" pitchFamily="34" charset="0"/>
              </a:rPr>
              <a:t> </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使你可以定义某一位置的术语或值，然后将它们重复用于整个</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工作簿。通过转到</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名称管理器</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你可以查看此工作簿中的所有命名区域</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单击此处了解详细信息。</a:t>
            </a:r>
            <a:endParaRPr lang="en-US" sz="1100" b="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editAs="absolute">
    <xdr:from>
      <xdr:col>6</xdr:col>
      <xdr:colOff>152401</xdr:colOff>
      <xdr:row>31</xdr:row>
      <xdr:rowOff>147349</xdr:rowOff>
    </xdr:from>
    <xdr:to>
      <xdr:col>10</xdr:col>
      <xdr:colOff>581024</xdr:colOff>
      <xdr:row>39</xdr:row>
      <xdr:rowOff>134804</xdr:rowOff>
    </xdr:to>
    <xdr:grpSp>
      <xdr:nvGrpSpPr>
        <xdr:cNvPr id="97" name="扩展知识" descr="扩展知识&#10;&#10;">
          <a:extLst>
            <a:ext uri="{FF2B5EF4-FFF2-40B4-BE49-F238E27FC236}">
              <a16:creationId xmlns:a16="http://schemas.microsoft.com/office/drawing/2014/main" id="{B45D0037-257A-421E-9928-F95C71F032DA}"/>
            </a:ext>
          </a:extLst>
        </xdr:cNvPr>
        <xdr:cNvGrpSpPr/>
      </xdr:nvGrpSpPr>
      <xdr:grpSpPr>
        <a:xfrm>
          <a:off x="12296776" y="7072024"/>
          <a:ext cx="3476623" cy="1740055"/>
          <a:chOff x="6778625" y="15619705"/>
          <a:chExt cx="3174461" cy="1671345"/>
        </a:xfrm>
      </xdr:grpSpPr>
      <xdr:sp macro="" textlink="">
        <xdr:nvSpPr>
          <xdr:cNvPr id="98" name="步骤" descr="扩展知识&#10;创建公式时，Excel 会将公式引用的任何区域四周设为彩色边框，公式中的对应区域也会显示相同的颜色。如果选择单元格 F33 并按 F2 编辑公式，则可以看到此内容。&#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创建公式时，Excel 会将公式引用的任何区域四周设为彩色边框，公式中的对应区域也会显示相同的颜色。如果选择单元格 F33 并按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F2</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编辑公式，则可以看到此内容。</a:t>
            </a:r>
            <a:endParaRPr lang="en-US" sz="1100">
              <a:effectLst/>
              <a:latin typeface="Microsoft YaHei UI" panose="020B0503020204020204" pitchFamily="34" charset="-122"/>
              <a:ea typeface="Microsoft YaHei UI" panose="020B0503020204020204" pitchFamily="34" charset="-122"/>
            </a:endParaRPr>
          </a:p>
        </xdr:txBody>
      </xdr:sp>
      <xdr:pic>
        <xdr:nvPicPr>
          <xdr:cNvPr id="99" name="图形 147" descr="眼镜">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18</xdr:row>
      <xdr:rowOff>19050</xdr:rowOff>
    </xdr:from>
    <xdr:to>
      <xdr:col>1</xdr:col>
      <xdr:colOff>2236457</xdr:colOff>
      <xdr:row>20</xdr:row>
      <xdr:rowOff>135637</xdr:rowOff>
    </xdr:to>
    <xdr:sp macro="" textlink="">
      <xdr:nvSpPr>
        <xdr:cNvPr id="100" name="按钮_深入学习" descr="向下滚动查看更多详细信息">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1910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0</xdr:col>
      <xdr:colOff>333375</xdr:colOff>
      <xdr:row>21</xdr:row>
      <xdr:rowOff>200024</xdr:rowOff>
    </xdr:from>
    <xdr:to>
      <xdr:col>1</xdr:col>
      <xdr:colOff>4972050</xdr:colOff>
      <xdr:row>48</xdr:row>
      <xdr:rowOff>209549</xdr:rowOff>
    </xdr:to>
    <xdr:grpSp>
      <xdr:nvGrpSpPr>
        <xdr:cNvPr id="3" name="组合 30">
          <a:extLst>
            <a:ext uri="{FF2B5EF4-FFF2-40B4-BE49-F238E27FC236}">
              <a16:creationId xmlns:a16="http://schemas.microsoft.com/office/drawing/2014/main" id="{54E9210E-46F4-4630-9944-462E5541B624}"/>
            </a:ext>
          </a:extLst>
        </xdr:cNvPr>
        <xdr:cNvGrpSpPr/>
      </xdr:nvGrpSpPr>
      <xdr:grpSpPr>
        <a:xfrm>
          <a:off x="333375" y="5000624"/>
          <a:ext cx="5734050" cy="5772150"/>
          <a:chOff x="333375" y="5000624"/>
          <a:chExt cx="5734050" cy="5772150"/>
        </a:xfrm>
      </xdr:grpSpPr>
      <xdr:sp macro="" textlink="">
        <xdr:nvSpPr>
          <xdr:cNvPr id="101" name="文本_教程背景" descr="背景">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02" name="文本_教程标题" descr="IF 语句与其他函数配合使用">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语句与其他函数配合使用</a:t>
            </a:r>
          </a:p>
        </xdr:txBody>
      </xdr:sp>
      <xdr:cxnSp macro="">
        <xdr:nvCxnSpPr>
          <xdr:cNvPr id="103" name="文本_教程线条 1" descr="装饰性线条">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文本_教程线条 2" descr="装饰性线条">
            <a:extLst>
              <a:ext uri="{FF2B5EF4-FFF2-40B4-BE49-F238E27FC236}">
                <a16:creationId xmlns:a16="http://schemas.microsoft.com/office/drawing/2014/main" id="{8891E0FB-F07B-444F-B967-54078E830D13}"/>
              </a:ext>
            </a:extLst>
          </xdr:cNvPr>
          <xdr:cNvCxnSpPr>
            <a:cxnSpLocks/>
          </xdr:cNvCxnSpPr>
        </xdr:nvCxnSpPr>
        <xdr:spPr>
          <a:xfrm>
            <a:off x="546103" y="100733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文本_教程简介" descr="IF 语句可在满足特定条件时强制执行其他计算。下面我们将对单元格求值，确定是否应收取销售税，并在条件为 true 时计算该费用。&#10;&#10;">
            <a:extLst>
              <a:ext uri="{FF2B5EF4-FFF2-40B4-BE49-F238E27FC236}">
                <a16:creationId xmlns:a16="http://schemas.microsoft.com/office/drawing/2014/main" id="{ADFF8084-9F56-49BC-A834-D77F4DF98649}"/>
              </a:ext>
            </a:extLst>
          </xdr:cNvPr>
          <xdr:cNvSpPr txBox="1"/>
        </xdr:nvSpPr>
        <xdr:spPr>
          <a:xfrm>
            <a:off x="571663" y="5716151"/>
            <a:ext cx="5251444"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 语句可在满足特定条件时强制执行其他计算。下面我们将对单元格求值，确定是否应收取销售税，并在条件为 true 时计算该费用。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6" name="组_步骤">
            <a:extLst>
              <a:ext uri="{FF2B5EF4-FFF2-40B4-BE49-F238E27FC236}">
                <a16:creationId xmlns:a16="http://schemas.microsoft.com/office/drawing/2014/main" id="{5CDE601E-EF9E-420E-80FC-F58C2BA9720A}"/>
              </a:ext>
            </a:extLst>
          </xdr:cNvPr>
          <xdr:cNvGrpSpPr/>
        </xdr:nvGrpSpPr>
        <xdr:grpSpPr>
          <a:xfrm>
            <a:off x="561975" y="6486525"/>
            <a:ext cx="5295900" cy="771525"/>
            <a:chOff x="581211" y="7810500"/>
            <a:chExt cx="5261541" cy="771525"/>
          </a:xfrm>
        </xdr:grpSpPr>
        <xdr:sp macro="" textlink="">
          <xdr:nvSpPr>
            <xdr:cNvPr id="107" name="文本_步骤" descr="在单元格 F33 中，输入 =IF(E33=&quot;Yes&quot;,F31*SalesTax,0)，其中将销售税设置为值为 0.0825 的命名区域。我们的公式表示如果单元格 E33 等于“Yes”，则将单元格 F31 乘以销售税，否则返回 0。&#10;&#10;尝试将单元格 E33 中的 Yes 改为 No，查看计算更改。&#10;">
              <a:extLst>
                <a:ext uri="{FF2B5EF4-FFF2-40B4-BE49-F238E27FC236}">
                  <a16:creationId xmlns:a16="http://schemas.microsoft.com/office/drawing/2014/main" id="{318A84D0-F949-42C9-8946-3CA9B70E8414}"/>
                </a:ext>
              </a:extLst>
            </xdr:cNvPr>
            <xdr:cNvSpPr txBox="1"/>
          </xdr:nvSpPr>
          <xdr:spPr>
            <a:xfrm>
              <a:off x="998369" y="7852458"/>
              <a:ext cx="4844383" cy="729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F33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=IF(E33="</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",F31*</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销售税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，其中将销售税设置为值为 0.0825 的</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。我们的公式表示如果单元格 E33 等于“</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”，则将单元格 F31 乘以销售税，否则返回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尝试将单元格 E33 中的 </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改为 </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否</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，查看计算更改。</a:t>
              </a:r>
            </a:p>
          </xdr:txBody>
        </xdr:sp>
        <xdr:sp macro="" textlink="">
          <xdr:nvSpPr>
            <xdr:cNvPr id="108" name="形状_步骤"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09" name="组_步骤">
            <a:extLst>
              <a:ext uri="{FF2B5EF4-FFF2-40B4-BE49-F238E27FC236}">
                <a16:creationId xmlns:a16="http://schemas.microsoft.com/office/drawing/2014/main" id="{BFF24217-919E-4D15-B472-AB89F019AF8E}"/>
              </a:ext>
            </a:extLst>
          </xdr:cNvPr>
          <xdr:cNvGrpSpPr/>
        </xdr:nvGrpSpPr>
        <xdr:grpSpPr>
          <a:xfrm>
            <a:off x="561975" y="7905750"/>
            <a:ext cx="5229626" cy="596207"/>
            <a:chOff x="581211" y="8058150"/>
            <a:chExt cx="5195697" cy="596207"/>
          </a:xfrm>
        </xdr:grpSpPr>
        <xdr:sp macro="" textlink="">
          <xdr:nvSpPr>
            <xdr:cNvPr id="110" name="文本_步骤" descr="接下来我们添加 IF 语句，计算是否需要运费。在单元格 F35 中，你将看到 IF(E35=&quot;Yes&quot;,SUM(D28:D29)*1.25,0)。这表示“如果单元格 E35 为 Yes，则计算上述表格中”数量“列的总和，并将其乘以 1.25，否则返回 0”。&#10;">
              <a:extLst>
                <a:ext uri="{FF2B5EF4-FFF2-40B4-BE49-F238E27FC236}">
                  <a16:creationId xmlns:a16="http://schemas.microsoft.com/office/drawing/2014/main" id="{AEA982A9-56DB-413C-8C06-090FF22D1BCD}"/>
                </a:ext>
              </a:extLst>
            </xdr:cNvPr>
            <xdr:cNvSpPr txBox="1"/>
          </xdr:nvSpPr>
          <xdr:spPr>
            <a:xfrm>
              <a:off x="998369" y="810010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接下来我们添加 IF 语句，计算是否需要运费。在单元格 F35 中，你将看到 </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IF(E35="</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",SUM(D28:D29)*1.25,0)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E35 为 </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，则计算上述表格中”数量“列的总和，并将其乘以 1.25，否则返回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1" name="形状_步骤" descr="2">
              <a:extLst>
                <a:ext uri="{FF2B5EF4-FFF2-40B4-BE49-F238E27FC236}">
                  <a16:creationId xmlns:a16="http://schemas.microsoft.com/office/drawing/2014/main" id="{BCCAD99D-66BF-4E4A-8BE8-EB9E7692B65E}"/>
                </a:ext>
              </a:extLst>
            </xdr:cNvPr>
            <xdr:cNvSpPr/>
          </xdr:nvSpPr>
          <xdr:spPr>
            <a:xfrm>
              <a:off x="581211" y="805815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2" name="组_步骤">
            <a:extLst>
              <a:ext uri="{FF2B5EF4-FFF2-40B4-BE49-F238E27FC236}">
                <a16:creationId xmlns:a16="http://schemas.microsoft.com/office/drawing/2014/main" id="{BF6B2B89-C936-492B-9E7C-BBD3854AF4D9}"/>
              </a:ext>
            </a:extLst>
          </xdr:cNvPr>
          <xdr:cNvGrpSpPr/>
        </xdr:nvGrpSpPr>
        <xdr:grpSpPr>
          <a:xfrm>
            <a:off x="561975" y="8839200"/>
            <a:ext cx="5229626" cy="1085850"/>
            <a:chOff x="581211" y="8077200"/>
            <a:chExt cx="5195697" cy="1085850"/>
          </a:xfrm>
        </xdr:grpSpPr>
        <xdr:sp macro="" textlink="">
          <xdr:nvSpPr>
            <xdr:cNvPr id="113" name="文本_步骤" descr="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10;&#10;">
              <a:extLst>
                <a:ext uri="{FF2B5EF4-FFF2-40B4-BE49-F238E27FC236}">
                  <a16:creationId xmlns:a16="http://schemas.microsoft.com/office/drawing/2014/main" id="{A722657B-F5BE-4EA5-BAAE-C570DA0E3B71}"/>
                </a:ext>
              </a:extLst>
            </xdr:cNvPr>
            <xdr:cNvSpPr txBox="1"/>
          </xdr:nvSpPr>
          <xdr:spPr>
            <a:xfrm>
              <a:off x="998369" y="8119158"/>
              <a:ext cx="4778539" cy="1043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接下来，将单元格 F35 公式中的 1.25 改为“</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运费</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”。开始键入时，Excel 的自动更正功能将为你找到该内容。找到后，按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Tab</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键可进入。这是一个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，我们可从“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定义名称</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”进入。现在，如果需要更改运输费用，只需在一处进行操作，便可在工作簿的任意位置使用“运费”名称。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3">
              <a:extLst>
                <a:ext uri="{FF2B5EF4-FFF2-40B4-BE49-F238E27FC236}">
                  <a16:creationId xmlns:a16="http://schemas.microsoft.com/office/drawing/2014/main" id="{9DDD420D-C72F-4430-9995-3824DE1CAC4D}"/>
                </a:ext>
              </a:extLst>
            </xdr:cNvPr>
            <xdr:cNvSpPr/>
          </xdr:nvSpPr>
          <xdr:spPr>
            <a:xfrm>
              <a:off x="581211" y="80772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552450</xdr:colOff>
      <xdr:row>46</xdr:row>
      <xdr:rowOff>114300</xdr:rowOff>
    </xdr:from>
    <xdr:to>
      <xdr:col>1</xdr:col>
      <xdr:colOff>732809</xdr:colOff>
      <xdr:row>48</xdr:row>
      <xdr:rowOff>30649</xdr:rowOff>
    </xdr:to>
    <xdr:sp macro="" textlink="">
      <xdr:nvSpPr>
        <xdr:cNvPr id="115" name="上一个工作表按钮" descr="返回到上一个工作表">
          <a:hlinkClick xmlns:r="http://schemas.openxmlformats.org/officeDocument/2006/relationships" r:id="rId10" tooltip="单击此处可返回到上一个工作表"/>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twoCellAnchor>
  <xdr:twoCellAnchor editAs="absolute">
    <xdr:from>
      <xdr:col>1</xdr:col>
      <xdr:colOff>3436422</xdr:colOff>
      <xdr:row>46</xdr:row>
      <xdr:rowOff>114300</xdr:rowOff>
    </xdr:from>
    <xdr:to>
      <xdr:col>1</xdr:col>
      <xdr:colOff>4712156</xdr:colOff>
      <xdr:row>48</xdr:row>
      <xdr:rowOff>30649</xdr:rowOff>
    </xdr:to>
    <xdr:sp macro="" textlink="">
      <xdr:nvSpPr>
        <xdr:cNvPr id="116" name="“下一步”按钮" descr="前进到下一个工作表">
          <a:hlinkClick xmlns:r="http://schemas.openxmlformats.org/officeDocument/2006/relationships" r:id="rId1" tooltip="单击此处可返回到上一个工作表"/>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0</xdr:col>
      <xdr:colOff>352425</xdr:colOff>
      <xdr:row>49</xdr:row>
      <xdr:rowOff>104775</xdr:rowOff>
    </xdr:from>
    <xdr:to>
      <xdr:col>1</xdr:col>
      <xdr:colOff>4990338</xdr:colOff>
      <xdr:row>60</xdr:row>
      <xdr:rowOff>190500</xdr:rowOff>
    </xdr:to>
    <xdr:grpSp>
      <xdr:nvGrpSpPr>
        <xdr:cNvPr id="117" name="组 116">
          <a:extLst>
            <a:ext uri="{FF2B5EF4-FFF2-40B4-BE49-F238E27FC236}">
              <a16:creationId xmlns:a16="http://schemas.microsoft.com/office/drawing/2014/main" id="{A4810020-C4C7-483B-BB90-6111CE7B8559}"/>
            </a:ext>
          </a:extLst>
        </xdr:cNvPr>
        <xdr:cNvGrpSpPr/>
      </xdr:nvGrpSpPr>
      <xdr:grpSpPr>
        <a:xfrm>
          <a:off x="352425" y="10877550"/>
          <a:ext cx="5733288" cy="2390775"/>
          <a:chOff x="352425" y="10715625"/>
          <a:chExt cx="5733288" cy="2390775"/>
        </a:xfrm>
      </xdr:grpSpPr>
      <xdr:sp macro="" textlink="">
        <xdr:nvSpPr>
          <xdr:cNvPr id="118" name="矩形​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19" name="步骤" descr="访问网页获取详细信息&#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21" name="直接连接符 120" descr="装饰性线条">
            <a:extLst>
              <a:ext uri="{FF2B5EF4-FFF2-40B4-BE49-F238E27FC236}">
                <a16:creationId xmlns:a16="http://schemas.microsoft.com/office/drawing/2014/main" id="{6592F069-6C25-4390-8BAB-B70BB811B85E}"/>
              </a:ext>
            </a:extLst>
          </xdr:cNvPr>
          <xdr:cNvCxnSpPr>
            <a:cxnSpLocks/>
          </xdr:cNvCxnSpPr>
        </xdr:nvCxnSpPr>
        <xdr:spPr>
          <a:xfrm>
            <a:off x="585659" y="1297010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接连接符​​ 71" descr="装饰性线条">
            <a:extLst>
              <a:ext uri="{FF2B5EF4-FFF2-40B4-BE49-F238E27FC236}">
                <a16:creationId xmlns:a16="http://schemas.microsoft.com/office/drawing/2014/main" id="{C5EC57CE-9B46-46D7-8D21-0D9415D893AF}"/>
              </a:ext>
            </a:extLst>
          </xdr:cNvPr>
          <xdr:cNvCxnSpPr>
            <a:cxnSpLocks/>
          </xdr:cNvCxnSpPr>
        </xdr:nvCxnSpPr>
        <xdr:spPr>
          <a:xfrm>
            <a:off x="544407" y="112994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接连接符​​ 72" descr="装饰性线条">
            <a:extLst>
              <a:ext uri="{FF2B5EF4-FFF2-40B4-BE49-F238E27FC236}">
                <a16:creationId xmlns:a16="http://schemas.microsoft.com/office/drawing/2014/main" id="{7C9853C8-AABB-40DC-8E21-1B84AEE76B0B}"/>
              </a:ext>
            </a:extLst>
          </xdr:cNvPr>
          <xdr:cNvCxnSpPr>
            <a:cxnSpLocks/>
          </xdr:cNvCxnSpPr>
        </xdr:nvCxnSpPr>
        <xdr:spPr>
          <a:xfrm>
            <a:off x="544407" y="1297010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52</xdr:row>
      <xdr:rowOff>111844</xdr:rowOff>
    </xdr:from>
    <xdr:to>
      <xdr:col>1</xdr:col>
      <xdr:colOff>2333625</xdr:colOff>
      <xdr:row>54</xdr:row>
      <xdr:rowOff>51823</xdr:rowOff>
    </xdr:to>
    <xdr:grpSp>
      <xdr:nvGrpSpPr>
        <xdr:cNvPr id="30" name="组 29">
          <a:extLst>
            <a:ext uri="{FF2B5EF4-FFF2-40B4-BE49-F238E27FC236}">
              <a16:creationId xmlns:a16="http://schemas.microsoft.com/office/drawing/2014/main" id="{734055A1-8444-407E-B760-0BF685C60AE8}"/>
            </a:ext>
          </a:extLst>
        </xdr:cNvPr>
        <xdr:cNvGrpSpPr/>
      </xdr:nvGrpSpPr>
      <xdr:grpSpPr>
        <a:xfrm>
          <a:off x="562406" y="11513269"/>
          <a:ext cx="2866594" cy="359079"/>
          <a:chOff x="562406" y="11418019"/>
          <a:chExt cx="2866594" cy="359079"/>
        </a:xfrm>
      </xdr:grpSpPr>
      <xdr:sp macro="" textlink="">
        <xdr:nvSpPr>
          <xdr:cNvPr id="122" name="步骤" descr="有关 IF 函数的全部内容，超链接到网页&#10;&#10;">
            <a:hlinkClick xmlns:r="http://schemas.openxmlformats.org/officeDocument/2006/relationships" r:id="rId11" tooltip="选择此处，从网页上了解有关 IF 函数的全部内容"/>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3" name="图形 22" descr="箭头">
            <a:hlinkClick xmlns:r="http://schemas.openxmlformats.org/officeDocument/2006/relationships" r:id="rId11" tooltip="选择此处，从网页上了解详细信息"/>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54</xdr:row>
      <xdr:rowOff>67810</xdr:rowOff>
    </xdr:from>
    <xdr:to>
      <xdr:col>1</xdr:col>
      <xdr:colOff>2362200</xdr:colOff>
      <xdr:row>56</xdr:row>
      <xdr:rowOff>13099</xdr:rowOff>
    </xdr:to>
    <xdr:grpSp>
      <xdr:nvGrpSpPr>
        <xdr:cNvPr id="29" name="组 28">
          <a:extLst>
            <a:ext uri="{FF2B5EF4-FFF2-40B4-BE49-F238E27FC236}">
              <a16:creationId xmlns:a16="http://schemas.microsoft.com/office/drawing/2014/main" id="{B13CA61E-C0BF-4685-82BB-1ADFEB7A3BE0}"/>
            </a:ext>
          </a:extLst>
        </xdr:cNvPr>
        <xdr:cNvGrpSpPr/>
      </xdr:nvGrpSpPr>
      <xdr:grpSpPr>
        <a:xfrm>
          <a:off x="562406" y="11888335"/>
          <a:ext cx="2895169" cy="364389"/>
          <a:chOff x="562406" y="11793085"/>
          <a:chExt cx="2895169" cy="364389"/>
        </a:xfrm>
      </xdr:grpSpPr>
      <xdr:sp macro="" textlink="">
        <xdr:nvSpPr>
          <xdr:cNvPr id="124" name="步骤" descr="有关 IFS 函数的全部内容，超链接到网页&#10;">
            <a:hlinkClick xmlns:r="http://schemas.openxmlformats.org/officeDocument/2006/relationships" r:id="rId14" tooltip="选择此处，从网页上了解有关 IFS 函数的全部内容"/>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5" name="图形 22" descr="箭头">
            <a:hlinkClick xmlns:r="http://schemas.openxmlformats.org/officeDocument/2006/relationships" r:id="rId14" tooltip="选择此处，从网页上了解详细信息"/>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58</xdr:row>
      <xdr:rowOff>22528</xdr:rowOff>
    </xdr:from>
    <xdr:to>
      <xdr:col>1</xdr:col>
      <xdr:colOff>1983667</xdr:colOff>
      <xdr:row>59</xdr:row>
      <xdr:rowOff>177367</xdr:rowOff>
    </xdr:to>
    <xdr:grpSp>
      <xdr:nvGrpSpPr>
        <xdr:cNvPr id="20" name="组 19">
          <a:extLst>
            <a:ext uri="{FF2B5EF4-FFF2-40B4-BE49-F238E27FC236}">
              <a16:creationId xmlns:a16="http://schemas.microsoft.com/office/drawing/2014/main" id="{0552D274-B7DD-441F-82AB-F9C18F3F1907}"/>
            </a:ext>
          </a:extLst>
        </xdr:cNvPr>
        <xdr:cNvGrpSpPr/>
      </xdr:nvGrpSpPr>
      <xdr:grpSpPr>
        <a:xfrm>
          <a:off x="562406" y="12681253"/>
          <a:ext cx="2516636" cy="364389"/>
          <a:chOff x="562406" y="12586003"/>
          <a:chExt cx="2516636" cy="364389"/>
        </a:xfrm>
      </xdr:grpSpPr>
      <xdr:sp macro="" textlink="">
        <xdr:nvSpPr>
          <xdr:cNvPr id="126" name="步骤" descr="免费 Excel 在线培训，超链接到网页&#10;">
            <a:hlinkClick xmlns:r="http://schemas.openxmlformats.org/officeDocument/2006/relationships" r:id="rId15" tooltip="选择此处，从网页上了解免费 Excel 在线培训的详细信息"/>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127" name="图形 22" descr="箭头">
            <a:hlinkClick xmlns:r="http://schemas.openxmlformats.org/officeDocument/2006/relationships" r:id="rId15" tooltip="选择此处，从网页上了解详细信息"/>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56</xdr:row>
      <xdr:rowOff>29086</xdr:rowOff>
    </xdr:from>
    <xdr:to>
      <xdr:col>1</xdr:col>
      <xdr:colOff>2362200</xdr:colOff>
      <xdr:row>57</xdr:row>
      <xdr:rowOff>183925</xdr:rowOff>
    </xdr:to>
    <xdr:grpSp>
      <xdr:nvGrpSpPr>
        <xdr:cNvPr id="25" name="组 24">
          <a:extLst>
            <a:ext uri="{FF2B5EF4-FFF2-40B4-BE49-F238E27FC236}">
              <a16:creationId xmlns:a16="http://schemas.microsoft.com/office/drawing/2014/main" id="{F1DB9CDB-5B09-4600-8014-FE097D5CAA92}"/>
            </a:ext>
          </a:extLst>
        </xdr:cNvPr>
        <xdr:cNvGrpSpPr/>
      </xdr:nvGrpSpPr>
      <xdr:grpSpPr>
        <a:xfrm>
          <a:off x="562406" y="12268711"/>
          <a:ext cx="2895169" cy="364389"/>
          <a:chOff x="562406" y="12173461"/>
          <a:chExt cx="2895169" cy="364389"/>
        </a:xfrm>
      </xdr:grpSpPr>
      <xdr:sp macro="" textlink="">
        <xdr:nvSpPr>
          <xdr:cNvPr id="128" name="步骤" descr="高级 IF 语句，超链接到网页&#10;">
            <a:hlinkClick xmlns:r="http://schemas.openxmlformats.org/officeDocument/2006/relationships" r:id="rId16" tooltip="选择此处，从网页上了解有关高级 IF 语句的全部内容"/>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高级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语句</a:t>
            </a:r>
          </a:p>
        </xdr:txBody>
      </xdr:sp>
      <xdr:pic>
        <xdr:nvPicPr>
          <xdr:cNvPr id="129" name="图形 22" descr="箭头">
            <a:hlinkClick xmlns:r="http://schemas.openxmlformats.org/officeDocument/2006/relationships" r:id="rId16" tooltip="选择此处，从网页上了解详细信息"/>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152400</xdr:colOff>
      <xdr:row>45</xdr:row>
      <xdr:rowOff>9525</xdr:rowOff>
    </xdr:from>
    <xdr:to>
      <xdr:col>3</xdr:col>
      <xdr:colOff>1552215</xdr:colOff>
      <xdr:row>55</xdr:row>
      <xdr:rowOff>123549</xdr:rowOff>
    </xdr:to>
    <xdr:pic>
      <xdr:nvPicPr>
        <xdr:cNvPr id="2" name="图片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886575" y="9963150"/>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文本_教程背景" descr="背景">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文本_教程标题"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文本_教程线条 1" descr="装饰性线条">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文本_教程线条 2" descr="装饰性线条">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文本_教程简介" descr="VLOOKUP 是 Excel 中使用最广泛的函数之一（也是我们最喜欢的工具之一！）。使用 VLOOKUP，你可查找左侧列中的值，如果找到匹配项，则会在右侧的另一列中返回信息。VLOOKUP 表示：&#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 是 Excel 中使用最广泛的函数之一（也是我们最喜欢的工具之一！）。使用 VLOOKUP，你可查找左侧列中的值，如果找到匹配项，则会在右侧的另一列中返回信息。VLOOKUP 表示：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561975</xdr:colOff>
      <xdr:row>19</xdr:row>
      <xdr:rowOff>166663</xdr:rowOff>
    </xdr:from>
    <xdr:to>
      <xdr:col>1</xdr:col>
      <xdr:colOff>4943876</xdr:colOff>
      <xdr:row>23</xdr:row>
      <xdr:rowOff>870</xdr:rowOff>
    </xdr:to>
    <xdr:grpSp>
      <xdr:nvGrpSpPr>
        <xdr:cNvPr id="3" name="组 2">
          <a:extLst>
            <a:ext uri="{FF2B5EF4-FFF2-40B4-BE49-F238E27FC236}">
              <a16:creationId xmlns:a16="http://schemas.microsoft.com/office/drawing/2014/main" id="{A668747A-127E-4399-9A99-C2F143BEE89C}"/>
            </a:ext>
          </a:extLst>
        </xdr:cNvPr>
        <xdr:cNvGrpSpPr/>
      </xdr:nvGrpSpPr>
      <xdr:grpSpPr>
        <a:xfrm>
          <a:off x="561975" y="4357663"/>
          <a:ext cx="5477276" cy="596207"/>
          <a:chOff x="523875" y="4357663"/>
          <a:chExt cx="5220101" cy="596207"/>
        </a:xfrm>
      </xdr:grpSpPr>
      <xdr:sp macro="" textlink="">
        <xdr:nvSpPr>
          <xdr:cNvPr id="87" name="文本_步骤" descr="在单元格 D22 中，输入 =VLOOKUP(C22,C17:D20,2,FALSE)。苹果的正确答案为 50。VLOOKUP 查找苹果找到了匹配项，并在右侧的一列中返回数量。&#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D22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=VLOOKUP(C22,C17:D20,2,FALSE)。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苹果的正确答案为 50。VLOOKUP 查找苹果找到了匹配项，并在右侧的一列中返回数量。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8" name="形状_步骤"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组 1">
          <a:extLst>
            <a:ext uri="{FF2B5EF4-FFF2-40B4-BE49-F238E27FC236}">
              <a16:creationId xmlns:a16="http://schemas.microsoft.com/office/drawing/2014/main" id="{7248ACEA-EF5C-407C-9476-B09DAE8F48D8}"/>
            </a:ext>
          </a:extLst>
        </xdr:cNvPr>
        <xdr:cNvGrpSpPr/>
      </xdr:nvGrpSpPr>
      <xdr:grpSpPr>
        <a:xfrm>
          <a:off x="561975" y="5072038"/>
          <a:ext cx="5477276" cy="596207"/>
          <a:chOff x="523875" y="5072038"/>
          <a:chExt cx="5220101" cy="596207"/>
        </a:xfrm>
      </xdr:grpSpPr>
      <xdr:sp macro="" textlink="">
        <xdr:nvSpPr>
          <xdr:cNvPr id="90" name="文本_步骤" descr="现在，请自行在肉类部分的单元格 G22 中进行尝试。最终应为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现在，请自行在肉类部分的单元格 G22 中进行尝试。最终应为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1" name="形状_步骤"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3436986</xdr:colOff>
      <xdr:row>27</xdr:row>
      <xdr:rowOff>176188</xdr:rowOff>
    </xdr:from>
    <xdr:to>
      <xdr:col>1</xdr:col>
      <xdr:colOff>4712156</xdr:colOff>
      <xdr:row>29</xdr:row>
      <xdr:rowOff>130637</xdr:rowOff>
    </xdr:to>
    <xdr:sp macro="" textlink="">
      <xdr:nvSpPr>
        <xdr:cNvPr id="92" name="“下一步”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xdr:from>
      <xdr:col>0</xdr:col>
      <xdr:colOff>323850</xdr:colOff>
      <xdr:row>62</xdr:row>
      <xdr:rowOff>152372</xdr:rowOff>
    </xdr:from>
    <xdr:to>
      <xdr:col>1</xdr:col>
      <xdr:colOff>5209413</xdr:colOff>
      <xdr:row>77</xdr:row>
      <xdr:rowOff>123826</xdr:rowOff>
    </xdr:to>
    <xdr:grpSp>
      <xdr:nvGrpSpPr>
        <xdr:cNvPr id="93" name="组 92">
          <a:extLst>
            <a:ext uri="{FF2B5EF4-FFF2-40B4-BE49-F238E27FC236}">
              <a16:creationId xmlns:a16="http://schemas.microsoft.com/office/drawing/2014/main" id="{6AD4BB42-C99A-40EC-9E51-AFE390CD9507}"/>
            </a:ext>
          </a:extLst>
        </xdr:cNvPr>
        <xdr:cNvGrpSpPr/>
      </xdr:nvGrpSpPr>
      <xdr:grpSpPr>
        <a:xfrm>
          <a:off x="323850" y="12553922"/>
          <a:ext cx="5980938" cy="2828954"/>
          <a:chOff x="0" y="5524500"/>
          <a:chExt cx="5695950" cy="2828954"/>
        </a:xfrm>
      </xdr:grpSpPr>
      <xdr:sp macro="" textlink="">
        <xdr:nvSpPr>
          <xdr:cNvPr id="94" name="矩形​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95" name="步骤" descr="访问网页获取详细信息&#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96" name="直接连接符​​ 95" descr="装饰性线条">
            <a:extLst>
              <a:ext uri="{FF2B5EF4-FFF2-40B4-BE49-F238E27FC236}">
                <a16:creationId xmlns:a16="http://schemas.microsoft.com/office/drawing/2014/main" id="{FC75038A-1A57-4810-A200-F441A155BA62}"/>
              </a:ext>
            </a:extLst>
          </xdr:cNvPr>
          <xdr:cNvCxnSpPr>
            <a:cxnSpLocks/>
          </xdr:cNvCxnSpPr>
        </xdr:nvCxnSpPr>
        <xdr:spPr>
          <a:xfrm>
            <a:off x="233234" y="61178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接连接符 96" descr="装饰性线条">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66</xdr:row>
      <xdr:rowOff>7041</xdr:rowOff>
    </xdr:from>
    <xdr:to>
      <xdr:col>1</xdr:col>
      <xdr:colOff>2581275</xdr:colOff>
      <xdr:row>67</xdr:row>
      <xdr:rowOff>175620</xdr:rowOff>
    </xdr:to>
    <xdr:grpSp>
      <xdr:nvGrpSpPr>
        <xdr:cNvPr id="17" name="组 16">
          <a:extLst>
            <a:ext uri="{FF2B5EF4-FFF2-40B4-BE49-F238E27FC236}">
              <a16:creationId xmlns:a16="http://schemas.microsoft.com/office/drawing/2014/main" id="{AA259A6F-5BA1-4BA7-97B7-539D915D1A18}"/>
            </a:ext>
          </a:extLst>
        </xdr:cNvPr>
        <xdr:cNvGrpSpPr/>
      </xdr:nvGrpSpPr>
      <xdr:grpSpPr>
        <a:xfrm>
          <a:off x="562406" y="13170591"/>
          <a:ext cx="3114244" cy="359079"/>
          <a:chOff x="562406" y="12494316"/>
          <a:chExt cx="2866594" cy="359079"/>
        </a:xfrm>
      </xdr:grpSpPr>
      <xdr:sp macro="" textlink="">
        <xdr:nvSpPr>
          <xdr:cNvPr id="98" name="步骤" descr="有关 VLOOKUP 函数的全部内容，超链接到网页&#10;&#10;">
            <a:hlinkClick xmlns:r="http://schemas.openxmlformats.org/officeDocument/2006/relationships" r:id="rId2" tooltip="选择此处，从网页上了解有关 VLOOKUP 函数的全部内容"/>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99" name="图形 22" descr="箭头">
            <a:hlinkClick xmlns:r="http://schemas.openxmlformats.org/officeDocument/2006/relationships" r:id="rId2" tooltip="选择此处，从网页上了解详细信息"/>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68</xdr:row>
      <xdr:rowOff>12662</xdr:rowOff>
    </xdr:from>
    <xdr:to>
      <xdr:col>1</xdr:col>
      <xdr:colOff>2990850</xdr:colOff>
      <xdr:row>69</xdr:row>
      <xdr:rowOff>186551</xdr:rowOff>
    </xdr:to>
    <xdr:grpSp>
      <xdr:nvGrpSpPr>
        <xdr:cNvPr id="16" name="组合 15">
          <a:extLst>
            <a:ext uri="{FF2B5EF4-FFF2-40B4-BE49-F238E27FC236}">
              <a16:creationId xmlns:a16="http://schemas.microsoft.com/office/drawing/2014/main" id="{79235089-8072-43CC-BE8C-67B41C2F383F}"/>
            </a:ext>
          </a:extLst>
        </xdr:cNvPr>
        <xdr:cNvGrpSpPr/>
      </xdr:nvGrpSpPr>
      <xdr:grpSpPr>
        <a:xfrm>
          <a:off x="562406" y="13557212"/>
          <a:ext cx="3523819" cy="364389"/>
          <a:chOff x="562406" y="12880937"/>
          <a:chExt cx="3276169" cy="364389"/>
        </a:xfrm>
      </xdr:grpSpPr>
      <xdr:sp macro="" textlink="">
        <xdr:nvSpPr>
          <xdr:cNvPr id="100" name="步骤" descr="有关 INDEX/MATCH 函数的全部内容，超链接到网页&#10;">
            <a:hlinkClick xmlns:r="http://schemas.openxmlformats.org/officeDocument/2006/relationships" r:id="rId5" tooltip="选择此处，从网页上了解有关 INDEX/MATCH 函数的全部内容"/>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INDEX/MATCH</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01"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74</xdr:row>
      <xdr:rowOff>60600</xdr:rowOff>
    </xdr:from>
    <xdr:to>
      <xdr:col>1</xdr:col>
      <xdr:colOff>2231317</xdr:colOff>
      <xdr:row>76</xdr:row>
      <xdr:rowOff>43989</xdr:rowOff>
    </xdr:to>
    <xdr:grpSp>
      <xdr:nvGrpSpPr>
        <xdr:cNvPr id="6" name="组 5">
          <a:extLst>
            <a:ext uri="{FF2B5EF4-FFF2-40B4-BE49-F238E27FC236}">
              <a16:creationId xmlns:a16="http://schemas.microsoft.com/office/drawing/2014/main" id="{5C999AAF-BC52-4D03-84CC-9A10F67B8111}"/>
            </a:ext>
          </a:extLst>
        </xdr:cNvPr>
        <xdr:cNvGrpSpPr/>
      </xdr:nvGrpSpPr>
      <xdr:grpSpPr>
        <a:xfrm>
          <a:off x="562406" y="14748150"/>
          <a:ext cx="2764286" cy="364389"/>
          <a:chOff x="562406" y="14071875"/>
          <a:chExt cx="2516636" cy="364389"/>
        </a:xfrm>
      </xdr:grpSpPr>
      <xdr:sp macro="" textlink="">
        <xdr:nvSpPr>
          <xdr:cNvPr id="102" name="步骤" descr="免费 Excel 在线培训，超链接到网页&#10;">
            <a:hlinkClick xmlns:r="http://schemas.openxmlformats.org/officeDocument/2006/relationships" r:id="rId6" tooltip="选择此处，从网页上了解免费 Excel 培训"/>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103" name="图形 22" descr="箭头">
            <a:hlinkClick xmlns:r="http://schemas.openxmlformats.org/officeDocument/2006/relationships" r:id="rId6" tooltip="选择此处，从网页上了解详细信息"/>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70</xdr:row>
      <xdr:rowOff>23593</xdr:rowOff>
    </xdr:from>
    <xdr:to>
      <xdr:col>1</xdr:col>
      <xdr:colOff>2609850</xdr:colOff>
      <xdr:row>72</xdr:row>
      <xdr:rowOff>6982</xdr:rowOff>
    </xdr:to>
    <xdr:grpSp>
      <xdr:nvGrpSpPr>
        <xdr:cNvPr id="8" name="组 7">
          <a:extLst>
            <a:ext uri="{FF2B5EF4-FFF2-40B4-BE49-F238E27FC236}">
              <a16:creationId xmlns:a16="http://schemas.microsoft.com/office/drawing/2014/main" id="{F2122903-3464-4677-84BC-66087719FF0D}"/>
            </a:ext>
          </a:extLst>
        </xdr:cNvPr>
        <xdr:cNvGrpSpPr/>
      </xdr:nvGrpSpPr>
      <xdr:grpSpPr>
        <a:xfrm>
          <a:off x="562406" y="13949143"/>
          <a:ext cx="3142819" cy="364389"/>
          <a:chOff x="562406" y="13272868"/>
          <a:chExt cx="2895169" cy="364389"/>
        </a:xfrm>
      </xdr:grpSpPr>
      <xdr:sp macro="" textlink="">
        <xdr:nvSpPr>
          <xdr:cNvPr id="104" name="步骤" descr="有关 IFERROR 函数的全部内容，超链接到网页&#10;">
            <a:hlinkClick xmlns:r="http://schemas.openxmlformats.org/officeDocument/2006/relationships" r:id="rId7" tooltip="选择此处，从网页上了解有关 IFERROR 函数的全部内容"/>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i="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pic>
        <xdr:nvPicPr>
          <xdr:cNvPr id="105" name="图形 22" descr="箭头">
            <a:hlinkClick xmlns:r="http://schemas.openxmlformats.org/officeDocument/2006/relationships" r:id="rId7" tooltip="选择此处，从网页上了解详细信息"/>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72</xdr:row>
      <xdr:rowOff>34524</xdr:rowOff>
    </xdr:from>
    <xdr:to>
      <xdr:col>1</xdr:col>
      <xdr:colOff>3190874</xdr:colOff>
      <xdr:row>74</xdr:row>
      <xdr:rowOff>17913</xdr:rowOff>
    </xdr:to>
    <xdr:grpSp>
      <xdr:nvGrpSpPr>
        <xdr:cNvPr id="7" name="组 6">
          <a:extLst>
            <a:ext uri="{FF2B5EF4-FFF2-40B4-BE49-F238E27FC236}">
              <a16:creationId xmlns:a16="http://schemas.microsoft.com/office/drawing/2014/main" id="{56B2B91D-B542-499E-8788-299E4FFAC823}"/>
            </a:ext>
          </a:extLst>
        </xdr:cNvPr>
        <xdr:cNvGrpSpPr/>
      </xdr:nvGrpSpPr>
      <xdr:grpSpPr>
        <a:xfrm>
          <a:off x="562406" y="14341074"/>
          <a:ext cx="3723843" cy="364389"/>
          <a:chOff x="562406" y="13664799"/>
          <a:chExt cx="3476193" cy="364389"/>
        </a:xfrm>
      </xdr:grpSpPr>
      <xdr:sp macro="" textlink="">
        <xdr:nvSpPr>
          <xdr:cNvPr id="106" name="步骤" descr="使用数据透视表分析工作表数据&#10;">
            <a:hlinkClick xmlns:r="http://schemas.openxmlformats.org/officeDocument/2006/relationships" r:id="rId8" tooltip="选择此处，从网页上了解有关创建数据透视表分析工作表数据的全部内容"/>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数据透视表</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分析</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工作表数据</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07"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xdr:from>
      <xdr:col>1</xdr:col>
      <xdr:colOff>5603364</xdr:colOff>
      <xdr:row>22</xdr:row>
      <xdr:rowOff>40290</xdr:rowOff>
    </xdr:from>
    <xdr:to>
      <xdr:col>6</xdr:col>
      <xdr:colOff>907538</xdr:colOff>
      <xdr:row>28</xdr:row>
      <xdr:rowOff>122966</xdr:rowOff>
    </xdr:to>
    <xdr:grpSp>
      <xdr:nvGrpSpPr>
        <xdr:cNvPr id="108" name="组 107">
          <a:extLst>
            <a:ext uri="{FF2B5EF4-FFF2-40B4-BE49-F238E27FC236}">
              <a16:creationId xmlns:a16="http://schemas.microsoft.com/office/drawing/2014/main" id="{03EFBC7C-34AE-450B-A955-411C63A44A84}"/>
            </a:ext>
          </a:extLst>
        </xdr:cNvPr>
        <xdr:cNvGrpSpPr/>
      </xdr:nvGrpSpPr>
      <xdr:grpSpPr>
        <a:xfrm>
          <a:off x="6698739" y="4802790"/>
          <a:ext cx="4571999" cy="1225676"/>
          <a:chOff x="6315744" y="2116740"/>
          <a:chExt cx="3297913" cy="1225676"/>
        </a:xfrm>
      </xdr:grpSpPr>
      <xdr:sp macro="" textlink="">
        <xdr:nvSpPr>
          <xdr:cNvPr id="109" name="步骤" descr="实验&#10;请尝试从下拉列表中选择不同项目。你会看到结果单元格立即自行更新为新值。&#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请尝试</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从下拉列表中选择不同项目。你会看到结果单元格立即自行更新为新值。</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nvGrpSpPr>
          <xdr:cNvPr id="110" name="组 109">
            <a:extLst>
              <a:ext uri="{FF2B5EF4-FFF2-40B4-BE49-F238E27FC236}">
                <a16:creationId xmlns:a16="http://schemas.microsoft.com/office/drawing/2014/main" id="{9133DD34-EC9C-4E5E-9701-31CBF2341050}"/>
              </a:ext>
            </a:extLst>
          </xdr:cNvPr>
          <xdr:cNvGrpSpPr/>
        </xdr:nvGrpSpPr>
        <xdr:grpSpPr>
          <a:xfrm>
            <a:off x="6315744" y="2116740"/>
            <a:ext cx="873764" cy="377476"/>
            <a:chOff x="6388583" y="2189579"/>
            <a:chExt cx="873764" cy="377476"/>
          </a:xfrm>
        </xdr:grpSpPr>
        <xdr:sp macro="" textlink="">
          <xdr:nvSpPr>
            <xdr:cNvPr id="112" name="任意多边形：形状 111" descr="括号线">
              <a:extLst>
                <a:ext uri="{FF2B5EF4-FFF2-40B4-BE49-F238E27FC236}">
                  <a16:creationId xmlns:a16="http://schemas.microsoft.com/office/drawing/2014/main" id="{B89FDF95-E971-450E-B68A-844FC0FEB63A}"/>
                </a:ext>
              </a:extLst>
            </xdr:cNvPr>
            <xdr:cNvSpPr/>
          </xdr:nvSpPr>
          <xdr:spPr>
            <a:xfrm rot="5400000">
              <a:off x="6989563" y="2111841"/>
              <a:ext cx="165098" cy="38047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13" name="任意多边形：形状 112" descr="括号线">
              <a:extLst>
                <a:ext uri="{FF2B5EF4-FFF2-40B4-BE49-F238E27FC236}">
                  <a16:creationId xmlns:a16="http://schemas.microsoft.com/office/drawing/2014/main" id="{6D94CD03-8DC7-4C12-B3AD-E8B0E09E2EF4}"/>
                </a:ext>
              </a:extLst>
            </xdr:cNvPr>
            <xdr:cNvSpPr/>
          </xdr:nvSpPr>
          <xdr:spPr>
            <a:xfrm rot="16200000" flipH="1">
              <a:off x="6495409" y="2082753"/>
              <a:ext cx="167085" cy="38073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14" name="弧形 113">
              <a:extLst>
                <a:ext uri="{FF2B5EF4-FFF2-40B4-BE49-F238E27FC236}">
                  <a16:creationId xmlns:a16="http://schemas.microsoft.com/office/drawing/2014/main" id="{FA556032-2890-4698-8BCA-5F6841D85837}"/>
                </a:ext>
              </a:extLst>
            </xdr:cNvPr>
            <xdr:cNvSpPr/>
          </xdr:nvSpPr>
          <xdr:spPr>
            <a:xfrm>
              <a:off x="6686535" y="2359878"/>
              <a:ext cx="15083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15" name="弧形 114">
              <a:extLst>
                <a:ext uri="{FF2B5EF4-FFF2-40B4-BE49-F238E27FC236}">
                  <a16:creationId xmlns:a16="http://schemas.microsoft.com/office/drawing/2014/main" id="{9D24D9D4-ABC6-4659-89BD-7B032B0C264F}"/>
                </a:ext>
              </a:extLst>
            </xdr:cNvPr>
            <xdr:cNvSpPr/>
          </xdr:nvSpPr>
          <xdr:spPr>
            <a:xfrm flipH="1">
              <a:off x="6844223" y="2370187"/>
              <a:ext cx="137120" cy="182150"/>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11" name="图形 96" descr="烧瓶">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370551" y="2499089"/>
            <a:ext cx="331088" cy="368300"/>
          </a:xfrm>
          <a:prstGeom prst="rect">
            <a:avLst/>
          </a:prstGeom>
        </xdr:spPr>
      </xdr:pic>
    </xdr:grpSp>
    <xdr:clientData/>
  </xdr:twoCellAnchor>
  <xdr:twoCellAnchor editAs="absolute">
    <xdr:from>
      <xdr:col>0</xdr:col>
      <xdr:colOff>666750</xdr:colOff>
      <xdr:row>27</xdr:row>
      <xdr:rowOff>176188</xdr:rowOff>
    </xdr:from>
    <xdr:to>
      <xdr:col>1</xdr:col>
      <xdr:colOff>2312657</xdr:colOff>
      <xdr:row>30</xdr:row>
      <xdr:rowOff>140375</xdr:rowOff>
    </xdr:to>
    <xdr:sp macro="" textlink="">
      <xdr:nvSpPr>
        <xdr:cNvPr id="116" name="按钮_深入学习" descr="向下滚动查看更多详细信息">
          <a:hlinkClick xmlns:r="http://schemas.openxmlformats.org/officeDocument/2006/relationships" r:id="rId11"/>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333375</xdr:colOff>
      <xdr:row>31</xdr:row>
      <xdr:rowOff>161897</xdr:rowOff>
    </xdr:from>
    <xdr:to>
      <xdr:col>1</xdr:col>
      <xdr:colOff>5219700</xdr:colOff>
      <xdr:row>61</xdr:row>
      <xdr:rowOff>180975</xdr:rowOff>
    </xdr:to>
    <xdr:grpSp>
      <xdr:nvGrpSpPr>
        <xdr:cNvPr id="4" name="组合 116">
          <a:extLst>
            <a:ext uri="{FF2B5EF4-FFF2-40B4-BE49-F238E27FC236}">
              <a16:creationId xmlns:a16="http://schemas.microsoft.com/office/drawing/2014/main" id="{81C61B2D-066A-4266-9649-D5C716D28387}"/>
            </a:ext>
          </a:extLst>
        </xdr:cNvPr>
        <xdr:cNvGrpSpPr/>
      </xdr:nvGrpSpPr>
      <xdr:grpSpPr>
        <a:xfrm>
          <a:off x="333375" y="6638897"/>
          <a:ext cx="5981700" cy="5753128"/>
          <a:chOff x="333375" y="6638897"/>
          <a:chExt cx="5981700" cy="5753128"/>
        </a:xfrm>
      </xdr:grpSpPr>
      <xdr:sp macro="" textlink="">
        <xdr:nvSpPr>
          <xdr:cNvPr id="118" name="文本_教程背景" descr="背景">
            <a:extLst>
              <a:ext uri="{FF2B5EF4-FFF2-40B4-BE49-F238E27FC236}">
                <a16:creationId xmlns:a16="http://schemas.microsoft.com/office/drawing/2014/main" id="{D3E3BF3F-62BA-42BD-AAAA-C2798A711BDD}"/>
              </a:ext>
            </a:extLst>
          </xdr:cNvPr>
          <xdr:cNvSpPr/>
        </xdr:nvSpPr>
        <xdr:spPr>
          <a:xfrm>
            <a:off x="333375" y="6638897"/>
            <a:ext cx="5981700" cy="575312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19" name="文本_教程标题" descr="VLOOKUP 和 #NA">
            <a:extLst>
              <a:ext uri="{FF2B5EF4-FFF2-40B4-BE49-F238E27FC236}">
                <a16:creationId xmlns:a16="http://schemas.microsoft.com/office/drawing/2014/main" id="{386B07F5-B225-4CBC-99F5-455BC4C0E041}"/>
              </a:ext>
            </a:extLst>
          </xdr:cNvPr>
          <xdr:cNvSpPr txBox="1"/>
        </xdr:nvSpPr>
        <xdr:spPr>
          <a:xfrm>
            <a:off x="585100" y="6734462"/>
            <a:ext cx="5478251" cy="58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 和 #N/A</a:t>
            </a:r>
          </a:p>
        </xdr:txBody>
      </xdr:sp>
      <xdr:cxnSp macro="">
        <xdr:nvCxnSpPr>
          <xdr:cNvPr id="120" name="文本_教程线条 1" descr="装饰性线条">
            <a:extLst>
              <a:ext uri="{FF2B5EF4-FFF2-40B4-BE49-F238E27FC236}">
                <a16:creationId xmlns:a16="http://schemas.microsoft.com/office/drawing/2014/main" id="{630863CB-3AD3-41AC-8A46-12E685348E7F}"/>
              </a:ext>
            </a:extLst>
          </xdr:cNvPr>
          <xdr:cNvCxnSpPr>
            <a:cxnSpLocks/>
          </xdr:cNvCxnSpPr>
        </xdr:nvCxnSpPr>
        <xdr:spPr>
          <a:xfrm>
            <a:off x="586767" y="7307863"/>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文本_教程线条 2" descr="装饰性线条">
            <a:extLst>
              <a:ext uri="{FF2B5EF4-FFF2-40B4-BE49-F238E27FC236}">
                <a16:creationId xmlns:a16="http://schemas.microsoft.com/office/drawing/2014/main" id="{9714E556-7850-4148-BEC1-BE99A53AD145}"/>
              </a:ext>
            </a:extLst>
          </xdr:cNvPr>
          <xdr:cNvCxnSpPr>
            <a:cxnSpLocks/>
          </xdr:cNvCxnSpPr>
        </xdr:nvCxnSpPr>
        <xdr:spPr>
          <a:xfrm>
            <a:off x="586767" y="11629588"/>
            <a:ext cx="5474917"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文本_教程简介" descr="无一例外，你会遇到 VLOOKUP 找不到所需内容，并且返回错误 (#N/A) 的情况。有时是单纯的因为查找值不存在，或者因为引用单元格尚无任何值。&#10;&#10;">
            <a:extLst>
              <a:ext uri="{FF2B5EF4-FFF2-40B4-BE49-F238E27FC236}">
                <a16:creationId xmlns:a16="http://schemas.microsoft.com/office/drawing/2014/main" id="{14D15DCB-93AB-4F22-9D6D-FBFB2C3479BE}"/>
              </a:ext>
            </a:extLst>
          </xdr:cNvPr>
          <xdr:cNvSpPr txBox="1"/>
        </xdr:nvSpPr>
        <xdr:spPr>
          <a:xfrm>
            <a:off x="581955" y="7341389"/>
            <a:ext cx="5478251" cy="58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无一例外，你会遇到 VLOOKUP 找不到所需内容，并且返回错误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的情况。有时是单纯的因为查找值不存在，或者因为引用单元格尚无任何值。</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23" name="组_步骤">
            <a:extLst>
              <a:ext uri="{FF2B5EF4-FFF2-40B4-BE49-F238E27FC236}">
                <a16:creationId xmlns:a16="http://schemas.microsoft.com/office/drawing/2014/main" id="{5965A0D4-2BC5-48D7-B26B-96EE64B5243D}"/>
              </a:ext>
            </a:extLst>
          </xdr:cNvPr>
          <xdr:cNvGrpSpPr/>
        </xdr:nvGrpSpPr>
        <xdr:grpSpPr>
          <a:xfrm>
            <a:off x="581784" y="8043724"/>
            <a:ext cx="5584245" cy="598188"/>
            <a:chOff x="562285" y="7734300"/>
            <a:chExt cx="5318320" cy="596207"/>
          </a:xfrm>
        </xdr:grpSpPr>
        <xdr:sp macro="" textlink="">
          <xdr:nvSpPr>
            <xdr:cNvPr id="127" name="文本_步骤" descr="如果你知道查找值存在，但查找单元格为空，你希望隐藏错误，可以使用 IF 语句。在这种情况下，我们将如单元格 D43 所示嵌套现有 VLOOKUP 公式：&#10;&#10;=IF(C43=&quot;&quot;,&quot;&quot;,VLOOKUP(C43,C37:D41,2,FALSE))&#10;&#10;这表示如果单元格 C43 没有任何内容 (&quot;&quot;)，则不返回任何结果，否则返回 VLOOKUP 的结果。请注意公式末尾的第二个右括号。这可关闭 IF 语句。&#10;&#10;">
              <a:extLst>
                <a:ext uri="{FF2B5EF4-FFF2-40B4-BE49-F238E27FC236}">
                  <a16:creationId xmlns:a16="http://schemas.microsoft.com/office/drawing/2014/main" id="{EEACBD37-1990-4370-9F66-49CF679806B6}"/>
                </a:ext>
              </a:extLst>
            </xdr:cNvPr>
            <xdr:cNvSpPr txBox="1"/>
          </xdr:nvSpPr>
          <xdr:spPr>
            <a:xfrm>
              <a:off x="979442" y="7776258"/>
              <a:ext cx="490116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如果你知道查找值存在，但查找单元格为空，你希望隐藏错误，可以使用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语句。在这种情况下，我们将如单元格 D43 所示嵌套现有 VLOOKUP 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C43 没有任何内容 ("")，则不返回任何结果，否则返回 VLOOKUP 的结果。请注意公式末尾的第二个右括号。这可关闭 IF 语句。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8" name="形状_步骤"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4" name="组 123">
            <a:extLst>
              <a:ext uri="{FF2B5EF4-FFF2-40B4-BE49-F238E27FC236}">
                <a16:creationId xmlns:a16="http://schemas.microsoft.com/office/drawing/2014/main" id="{E6606029-FD51-46CF-AFBE-ED7D2B796703}"/>
              </a:ext>
            </a:extLst>
          </xdr:cNvPr>
          <xdr:cNvGrpSpPr/>
        </xdr:nvGrpSpPr>
        <xdr:grpSpPr>
          <a:xfrm>
            <a:off x="581784" y="9878599"/>
            <a:ext cx="5455488" cy="1529091"/>
            <a:chOff x="11201400" y="3619500"/>
            <a:chExt cx="5229624" cy="1524028"/>
          </a:xfrm>
        </xdr:grpSpPr>
        <xdr:sp macro="" textlink="">
          <xdr:nvSpPr>
            <xdr:cNvPr id="125" name="文本_步骤" descr="如果不确定查找值是否存在，但仍想抑制 #N/A 错误，可以在单元格 G43 中使用名为 IFERROR 的错误处理函数：=IFERROR(VLOOKUP(F43,F37:G41,2,FALSE),&quot;&quot;)。IFERROR 表示，如果 VLOOKUP 返回有效结果，则显示该结果，否则不显示任何内容 (&quot;&quot;)。此处我们没有显示任何内容 (&quot;&quot;)，但还可以使用数字（0、1、2 等）或文本，如“公式不正确”。&#10;&#10;">
              <a:extLst>
                <a:ext uri="{FF2B5EF4-FFF2-40B4-BE49-F238E27FC236}">
                  <a16:creationId xmlns:a16="http://schemas.microsoft.com/office/drawing/2014/main" id="{250F4D35-4886-4A69-B7A9-2E3BC66C4614}"/>
                </a:ext>
              </a:extLst>
            </xdr:cNvPr>
            <xdr:cNvSpPr txBox="1"/>
          </xdr:nvSpPr>
          <xdr:spPr>
            <a:xfrm>
              <a:off x="11621281" y="3709083"/>
              <a:ext cx="4809743" cy="1434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如果不确定查找值是否存在，但仍想抑制 #N/A 错误，可以在单元格 G43 中使用名为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的错误处理函数：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=IFERROR(VLOOKUP(F43,F37:G41,2,FALSE),"")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表示，如果 VLOOKUP 返回有效结果，则显示该结果，否则不显示任何内容 ("")。此处我们没有显示任何内容 ("")，但还可以使用数字（0、1、2 等）或文本，如“公式不正确”。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6" name="形状_步骤"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571500</xdr:colOff>
      <xdr:row>58</xdr:row>
      <xdr:rowOff>171422</xdr:rowOff>
    </xdr:from>
    <xdr:to>
      <xdr:col>1</xdr:col>
      <xdr:colOff>751295</xdr:colOff>
      <xdr:row>60</xdr:row>
      <xdr:rowOff>125871</xdr:rowOff>
    </xdr:to>
    <xdr:sp macro="" textlink="">
      <xdr:nvSpPr>
        <xdr:cNvPr id="129" name="上一个工作表按钮" descr="返回到上一个工作表">
          <a:hlinkClick xmlns:r="http://schemas.openxmlformats.org/officeDocument/2006/relationships" r:id="rId12" tooltip="单击此处可返回到上一个工作表"/>
          <a:extLst>
            <a:ext uri="{FF2B5EF4-FFF2-40B4-BE49-F238E27FC236}">
              <a16:creationId xmlns:a16="http://schemas.microsoft.com/office/drawing/2014/main" id="{049FDD6C-0419-436A-A64D-A3B2D630D4B4}"/>
            </a:ext>
          </a:extLst>
        </xdr:cNvPr>
        <xdr:cNvSpPr/>
      </xdr:nvSpPr>
      <xdr:spPr>
        <a:xfrm flipH="1">
          <a:off x="571500" y="1181097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twoCellAnchor>
  <xdr:twoCellAnchor editAs="absolute">
    <xdr:from>
      <xdr:col>1</xdr:col>
      <xdr:colOff>3417936</xdr:colOff>
      <xdr:row>58</xdr:row>
      <xdr:rowOff>171422</xdr:rowOff>
    </xdr:from>
    <xdr:to>
      <xdr:col>1</xdr:col>
      <xdr:colOff>4693106</xdr:colOff>
      <xdr:row>60</xdr:row>
      <xdr:rowOff>125871</xdr:rowOff>
    </xdr:to>
    <xdr:sp macro="" textlink="">
      <xdr:nvSpPr>
        <xdr:cNvPr id="130" name="“下一步”按钮" descr="前进到下一个工作表">
          <a:hlinkClick xmlns:r="http://schemas.openxmlformats.org/officeDocument/2006/relationships" r:id="rId1" tooltip="单击此处可返回到上一个工作表"/>
          <a:extLst>
            <a:ext uri="{FF2B5EF4-FFF2-40B4-BE49-F238E27FC236}">
              <a16:creationId xmlns:a16="http://schemas.microsoft.com/office/drawing/2014/main" id="{7E521B5B-4F6E-46CF-9081-B282E69CE49D}"/>
            </a:ext>
          </a:extLst>
        </xdr:cNvPr>
        <xdr:cNvSpPr/>
      </xdr:nvSpPr>
      <xdr:spPr>
        <a:xfrm>
          <a:off x="4513311" y="1181097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2</xdr:col>
      <xdr:colOff>952501</xdr:colOff>
      <xdr:row>43</xdr:row>
      <xdr:rowOff>57158</xdr:rowOff>
    </xdr:from>
    <xdr:to>
      <xdr:col>7</xdr:col>
      <xdr:colOff>28576</xdr:colOff>
      <xdr:row>55</xdr:row>
      <xdr:rowOff>0</xdr:rowOff>
    </xdr:to>
    <xdr:grpSp>
      <xdr:nvGrpSpPr>
        <xdr:cNvPr id="131" name="重要详细信息" descr="重要详细信息&#10;&#10;">
          <a:extLst>
            <a:ext uri="{FF2B5EF4-FFF2-40B4-BE49-F238E27FC236}">
              <a16:creationId xmlns:a16="http://schemas.microsoft.com/office/drawing/2014/main" id="{321AE9BC-CB50-4E20-92DE-ED300BC55383}"/>
            </a:ext>
          </a:extLst>
        </xdr:cNvPr>
        <xdr:cNvGrpSpPr/>
      </xdr:nvGrpSpPr>
      <xdr:grpSpPr>
        <a:xfrm>
          <a:off x="7686676" y="8839208"/>
          <a:ext cx="3848100" cy="2228842"/>
          <a:chOff x="6788150" y="10960177"/>
          <a:chExt cx="3989022" cy="1708075"/>
        </a:xfrm>
      </xdr:grpSpPr>
      <xdr:sp macro="" textlink="">
        <xdr:nvSpPr>
          <xdr:cNvPr id="132" name="说明" descr="重要详细信息&#10;IFERROR 被称为综合错误处理程序，这意味着它将抑制公式可能引发的任何错误。如果 Excel 通知你公式有需要修复的合法错误，这可能导致问题。&#10;&#10;经验法则是不要将错误处理程序添加到公式中，除非确定它们能工作正常。&#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IFERROR</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称为综合错误处理程序，意味着它将抑制公式可能引发的任何错误。如果 Excel 通知你公式有需要修复的合法错误，这可能导致问题。</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经验法则是不要将错误处理程序添加到公式中，除非确定它们能工作正常。</a:t>
            </a:r>
            <a:endParaRPr lang="en-US" sz="1100">
              <a:effectLst/>
              <a:latin typeface="Microsoft YaHei UI" panose="020B0503020204020204" pitchFamily="34" charset="-122"/>
              <a:ea typeface="Microsoft YaHei UI" panose="020B0503020204020204" pitchFamily="34" charset="-122"/>
            </a:endParaRPr>
          </a:p>
        </xdr:txBody>
      </xdr:sp>
      <xdr:pic>
        <xdr:nvPicPr>
          <xdr:cNvPr id="133" name="放大镜" descr="放大镜">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788150" y="11420475"/>
            <a:ext cx="352313" cy="339611"/>
          </a:xfrm>
          <a:prstGeom prst="rect">
            <a:avLst/>
          </a:prstGeom>
        </xdr:spPr>
      </xdr:pic>
      <xdr:sp macro="" textlink="">
        <xdr:nvSpPr>
          <xdr:cNvPr id="134" name="箭头" descr="箭头">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100019</xdr:colOff>
      <xdr:row>6</xdr:row>
      <xdr:rowOff>66655</xdr:rowOff>
    </xdr:from>
    <xdr:to>
      <xdr:col>1</xdr:col>
      <xdr:colOff>3933824</xdr:colOff>
      <xdr:row>19</xdr:row>
      <xdr:rowOff>113871</xdr:rowOff>
    </xdr:to>
    <xdr:grpSp>
      <xdr:nvGrpSpPr>
        <xdr:cNvPr id="135" name="组 134">
          <a:extLst>
            <a:ext uri="{FF2B5EF4-FFF2-40B4-BE49-F238E27FC236}">
              <a16:creationId xmlns:a16="http://schemas.microsoft.com/office/drawing/2014/main" id="{6CD3A2DF-2D37-45A6-9A63-6B14AFC74B8A}"/>
            </a:ext>
          </a:extLst>
        </xdr:cNvPr>
        <xdr:cNvGrpSpPr/>
      </xdr:nvGrpSpPr>
      <xdr:grpSpPr>
        <a:xfrm>
          <a:off x="1195394" y="1781155"/>
          <a:ext cx="3833805" cy="2523716"/>
          <a:chOff x="2943225" y="1476375"/>
          <a:chExt cx="3833805" cy="2523716"/>
        </a:xfrm>
      </xdr:grpSpPr>
      <xdr:sp macro="" textlink="">
        <xdr:nvSpPr>
          <xdr:cNvPr id="136" name="公式上括号">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7" name="公式上括号">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8" name="公式下括号">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9" name="公式下括号">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 descr="=VLOOKUP(A1,B:C,2,FALSE)&#10;">
            <a:extLst>
              <a:ext uri="{FF2B5EF4-FFF2-40B4-BE49-F238E27FC236}">
                <a16:creationId xmlns:a16="http://schemas.microsoft.com/office/drawing/2014/main" id="{786BBFD9-F72E-4EA3-96E4-7C14F0A569CB}"/>
              </a:ext>
            </a:extLst>
          </xdr:cNvPr>
          <xdr:cNvSpPr txBox="1"/>
        </xdr:nvSpPr>
        <xdr:spPr>
          <a:xfrm>
            <a:off x="2943225" y="249555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=VLOOKUP(A1,B:C,2,FALSE)</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41" name="文本_公式下部标注" descr="想查找什么内容？&#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65724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想查找什么内容？</a:t>
            </a:r>
          </a:p>
        </xdr:txBody>
      </xdr:sp>
      <xdr:sp macro="" textlink="">
        <xdr:nvSpPr>
          <xdr:cNvPr id="142" name="文本_公式下部标注" descr="如果找到，你希望右侧多少列得到一个值？&#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66677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如果找到，你希望右侧多少列得到一个值？</a:t>
            </a:r>
          </a:p>
        </xdr:txBody>
      </xdr:sp>
      <xdr:sp macro="" textlink="">
        <xdr:nvSpPr>
          <xdr:cNvPr id="143" name="文本_公式上部标注" descr="想在何处查找它？&#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想在何处查找它？</a:t>
            </a:r>
          </a:p>
        </xdr:txBody>
      </xdr:sp>
      <xdr:sp macro="" textlink="">
        <xdr:nvSpPr>
          <xdr:cNvPr id="144" name="文本_公式上部标注" descr="是否想要一个确切的或近似的匹配项？&#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7" y="3105150"/>
            <a:ext cx="1123943"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是否想要一个确切的或近似的匹配项？</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步骤" descr="键入 =SUM(D4:D7)，然后按 Enter。完成后，将会看到结果为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15</xdr:col>
      <xdr:colOff>600075</xdr:colOff>
      <xdr:row>69</xdr:row>
      <xdr:rowOff>161925</xdr:rowOff>
    </xdr:from>
    <xdr:to>
      <xdr:col>20</xdr:col>
      <xdr:colOff>95250</xdr:colOff>
      <xdr:row>78</xdr:row>
      <xdr:rowOff>39560</xdr:rowOff>
    </xdr:to>
    <xdr:grpSp>
      <xdr:nvGrpSpPr>
        <xdr:cNvPr id="88" name="扩展知识" descr="扩展知识&#10;双击该单元格，会看到该公式有所不同。具体来说，求和条件是“&gt;=50”，也就是大于或等于 50。还可以使用其他运算符，如“&lt;=50”（小于或等于 50）。还有“&lt;&gt; 50”（不等于 50）&#10;">
          <a:extLst>
            <a:ext uri="{FF2B5EF4-FFF2-40B4-BE49-F238E27FC236}">
              <a16:creationId xmlns:a16="http://schemas.microsoft.com/office/drawing/2014/main" id="{22FED87C-334E-45C5-A4CC-FBD0B802BEDC}"/>
            </a:ext>
          </a:extLst>
        </xdr:cNvPr>
        <xdr:cNvGrpSpPr/>
      </xdr:nvGrpSpPr>
      <xdr:grpSpPr>
        <a:xfrm>
          <a:off x="18897600" y="14563725"/>
          <a:ext cx="3305175" cy="1763585"/>
          <a:chOff x="6778625" y="15514765"/>
          <a:chExt cx="3432175" cy="1776285"/>
        </a:xfrm>
      </xdr:grpSpPr>
      <xdr:sp macro="" textlink="">
        <xdr:nvSpPr>
          <xdr:cNvPr id="92" name="步骤" descr="扩展知识&#10;双击该单元格，会看到该公式有所不同。具体来说，求和条件是“&gt;=50”，也就是大于或等于 50。还可以使用其他运算符，如“&lt;=50”（小于或等于 50）。还有“&lt;&gt; 50”（不等于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双击该单元格，会看到该公式有所不同。具体来说，求和条件是“&gt;=50”，也就是大于或等于 50。还可以使用其他运算符，如“&lt;=50”（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小于或等于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）。还有“&lt;&gt; 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不等于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endParaRPr lang="en-US" sz="1100">
              <a:effectLst/>
              <a:latin typeface="Microsoft YaHei UI" panose="020B0503020204020204" pitchFamily="34" charset="-122"/>
              <a:ea typeface="Microsoft YaHei UI" panose="020B0503020204020204" pitchFamily="34" charset="-122"/>
            </a:endParaRPr>
          </a:p>
        </xdr:txBody>
      </xdr:sp>
      <xdr:pic>
        <xdr:nvPicPr>
          <xdr:cNvPr id="93" name="图形 147" descr="眼镜">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任意多边形：形状 93" descr="箭头">
            <a:extLst>
              <a:ext uri="{FF2B5EF4-FFF2-40B4-BE49-F238E27FC236}">
                <a16:creationId xmlns:a16="http://schemas.microsoft.com/office/drawing/2014/main" id="{15104F1B-103C-46F0-AEAD-84159160100C}"/>
              </a:ext>
            </a:extLst>
          </xdr:cNvPr>
          <xdr:cNvSpPr/>
        </xdr:nvSpPr>
        <xdr:spPr>
          <a:xfrm rot="5953034" flipV="1">
            <a:off x="8255693"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352423</xdr:colOff>
      <xdr:row>129</xdr:row>
      <xdr:rowOff>9526</xdr:rowOff>
    </xdr:from>
    <xdr:to>
      <xdr:col>1</xdr:col>
      <xdr:colOff>5258248</xdr:colOff>
      <xdr:row>146</xdr:row>
      <xdr:rowOff>179841</xdr:rowOff>
    </xdr:to>
    <xdr:grpSp>
      <xdr:nvGrpSpPr>
        <xdr:cNvPr id="2" name="组 1">
          <a:extLst>
            <a:ext uri="{FF2B5EF4-FFF2-40B4-BE49-F238E27FC236}">
              <a16:creationId xmlns:a16="http://schemas.microsoft.com/office/drawing/2014/main" id="{F31110CC-1652-426F-8A11-3D24DC9CD3D1}"/>
            </a:ext>
          </a:extLst>
        </xdr:cNvPr>
        <xdr:cNvGrpSpPr/>
      </xdr:nvGrpSpPr>
      <xdr:grpSpPr>
        <a:xfrm>
          <a:off x="352423" y="26793826"/>
          <a:ext cx="6001200" cy="3732665"/>
          <a:chOff x="447674" y="25631776"/>
          <a:chExt cx="5724525" cy="3762374"/>
        </a:xfrm>
      </xdr:grpSpPr>
      <xdr:sp macro="" textlink="">
        <xdr:nvSpPr>
          <xdr:cNvPr id="152" name="矩形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5" name="步骤" descr="访问网页获取详细信息&#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58" name="直接连接符​​ 157" descr="装饰性线条">
            <a:extLst>
              <a:ext uri="{FF2B5EF4-FFF2-40B4-BE49-F238E27FC236}">
                <a16:creationId xmlns:a16="http://schemas.microsoft.com/office/drawing/2014/main" id="{C1DC7374-254A-47B0-91EF-5014A7B4001F}"/>
              </a:ext>
            </a:extLst>
          </xdr:cNvPr>
          <xdr:cNvCxnSpPr>
            <a:cxnSpLocks/>
          </xdr:cNvCxnSpPr>
        </xdr:nvCxnSpPr>
        <xdr:spPr>
          <a:xfrm>
            <a:off x="663028" y="26247752"/>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直接连接符​​ 163" descr="装饰性线条">
            <a:extLst>
              <a:ext uri="{FF2B5EF4-FFF2-40B4-BE49-F238E27FC236}">
                <a16:creationId xmlns:a16="http://schemas.microsoft.com/office/drawing/2014/main" id="{86A13197-B0BB-44E6-87AB-432D5098D000}"/>
              </a:ext>
            </a:extLst>
          </xdr:cNvPr>
          <xdr:cNvCxnSpPr>
            <a:cxnSpLocks/>
          </xdr:cNvCxnSpPr>
        </xdr:nvCxnSpPr>
        <xdr:spPr>
          <a:xfrm>
            <a:off x="663028" y="2848776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419100</xdr:rowOff>
    </xdr:from>
    <xdr:to>
      <xdr:col>1</xdr:col>
      <xdr:colOff>5248275</xdr:colOff>
      <xdr:row>44</xdr:row>
      <xdr:rowOff>66675</xdr:rowOff>
    </xdr:to>
    <xdr:sp macro="" textlink="">
      <xdr:nvSpPr>
        <xdr:cNvPr id="168" name="背景" descr="背景">
          <a:extLst>
            <a:ext uri="{FF2B5EF4-FFF2-40B4-BE49-F238E27FC236}">
              <a16:creationId xmlns:a16="http://schemas.microsoft.com/office/drawing/2014/main" id="{E6C939DA-20FC-4617-9AC0-0E0FD53C0BBC}"/>
            </a:ext>
          </a:extLst>
        </xdr:cNvPr>
        <xdr:cNvSpPr/>
      </xdr:nvSpPr>
      <xdr:spPr>
        <a:xfrm>
          <a:off x="342900" y="419100"/>
          <a:ext cx="6000750" cy="8772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4700574</xdr:colOff>
      <xdr:row>2</xdr:row>
      <xdr:rowOff>66675</xdr:rowOff>
    </xdr:to>
    <xdr:cxnSp macro="">
      <xdr:nvCxnSpPr>
        <xdr:cNvPr id="169" name="底部线条" descr="装饰性线条">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4703770</xdr:colOff>
      <xdr:row>1</xdr:row>
      <xdr:rowOff>171517</xdr:rowOff>
    </xdr:to>
    <xdr:sp macro="" textlink="">
      <xdr:nvSpPr>
        <xdr:cNvPr id="170" name="步骤" descr="条件函数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SUMIF</a:t>
          </a:r>
        </a:p>
      </xdr:txBody>
    </xdr:sp>
    <xdr:clientData/>
  </xdr:twoCellAnchor>
  <xdr:twoCellAnchor editAs="absolute">
    <xdr:from>
      <xdr:col>0</xdr:col>
      <xdr:colOff>547701</xdr:colOff>
      <xdr:row>39</xdr:row>
      <xdr:rowOff>183092</xdr:rowOff>
    </xdr:from>
    <xdr:to>
      <xdr:col>1</xdr:col>
      <xdr:colOff>4700574</xdr:colOff>
      <xdr:row>39</xdr:row>
      <xdr:rowOff>183092</xdr:rowOff>
    </xdr:to>
    <xdr:cxnSp macro="">
      <xdr:nvCxnSpPr>
        <xdr:cNvPr id="171" name="底部线条" descr="装饰性线条">
          <a:extLst>
            <a:ext uri="{FF2B5EF4-FFF2-40B4-BE49-F238E27FC236}">
              <a16:creationId xmlns:a16="http://schemas.microsoft.com/office/drawing/2014/main" id="{CDE7F952-1938-4D52-9DF8-081F00B24DBB}"/>
            </a:ext>
          </a:extLst>
        </xdr:cNvPr>
        <xdr:cNvCxnSpPr>
          <a:cxnSpLocks/>
        </xdr:cNvCxnSpPr>
      </xdr:nvCxnSpPr>
      <xdr:spPr>
        <a:xfrm>
          <a:off x="547701" y="82602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4777063</xdr:colOff>
      <xdr:row>3</xdr:row>
      <xdr:rowOff>116822</xdr:rowOff>
    </xdr:to>
    <xdr:sp macro="" textlink="">
      <xdr:nvSpPr>
        <xdr:cNvPr id="172" name="添加数字简介" descr="使用条件函数，你可以根据给定条件或指定的条件对某区域内进行求和、求平均值、计数或获取最小值和最大值。例如，列表内的所有水果中，苹果有多少。或者有多少橙子属于佛罗里达类型？&#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使用条件函数，你可以根据给定条件或指定的条件对某区域内进行求和、求平均值、计数或获取最小值或最大值。例如</a:t>
          </a:r>
          <a:r>
            <a:rPr lang="zh-cn" sz="110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，在列表的所有水果中，苹果有多少？或者有多少橙子属于佛罗里达类型？</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571500</xdr:colOff>
      <xdr:row>6</xdr:row>
      <xdr:rowOff>57150</xdr:rowOff>
    </xdr:from>
    <xdr:to>
      <xdr:col>1</xdr:col>
      <xdr:colOff>4705751</xdr:colOff>
      <xdr:row>9</xdr:row>
      <xdr:rowOff>81857</xdr:rowOff>
    </xdr:to>
    <xdr:grpSp>
      <xdr:nvGrpSpPr>
        <xdr:cNvPr id="5" name="组 4">
          <a:extLst>
            <a:ext uri="{FF2B5EF4-FFF2-40B4-BE49-F238E27FC236}">
              <a16:creationId xmlns:a16="http://schemas.microsoft.com/office/drawing/2014/main" id="{8A59968F-9E53-4DA4-A0EC-0D567AB08F0D}"/>
            </a:ext>
          </a:extLst>
        </xdr:cNvPr>
        <xdr:cNvGrpSpPr/>
      </xdr:nvGrpSpPr>
      <xdr:grpSpPr>
        <a:xfrm>
          <a:off x="571500" y="1771650"/>
          <a:ext cx="5229626" cy="596207"/>
          <a:chOff x="619125" y="1771650"/>
          <a:chExt cx="5220101" cy="596207"/>
        </a:xfrm>
      </xdr:grpSpPr>
      <xdr:sp macro="" textlink="">
        <xdr:nvSpPr>
          <xdr:cNvPr id="174" name="文本_步骤" descr="使用 SUMIF，你可以根据在另一区域寻找的特定条件对某一区域求和，例如有多少苹果。选择单元格 D17 并键入 =SUMIF(C3:C14,C17,D3:D14)。SUMIF 的结构如下所示：&#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SUMIF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，你可以根据在另一区域寻找的特定条件对某一区域求和，例如有多少苹果。选择单元格 D17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=SUMIF(C3:C14,C17,D3:D14)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175" name="形状_步骤"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3343276</xdr:colOff>
      <xdr:row>40</xdr:row>
      <xdr:rowOff>116416</xdr:rowOff>
    </xdr:from>
    <xdr:to>
      <xdr:col>1</xdr:col>
      <xdr:colOff>4639880</xdr:colOff>
      <xdr:row>42</xdr:row>
      <xdr:rowOff>35865</xdr:rowOff>
    </xdr:to>
    <xdr:sp macro="" textlink="">
      <xdr:nvSpPr>
        <xdr:cNvPr id="176" name="“下一步”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A7F57915-4D95-47B4-A488-FB7E3D0BBF97}"/>
            </a:ext>
          </a:extLst>
        </xdr:cNvPr>
        <xdr:cNvSpPr/>
      </xdr:nvSpPr>
      <xdr:spPr>
        <a:xfrm>
          <a:off x="4438651" y="8403166"/>
          <a:ext cx="1296604" cy="3385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editAs="absolute">
    <xdr:from>
      <xdr:col>0</xdr:col>
      <xdr:colOff>652334</xdr:colOff>
      <xdr:row>143</xdr:row>
      <xdr:rowOff>153951</xdr:rowOff>
    </xdr:from>
    <xdr:to>
      <xdr:col>1</xdr:col>
      <xdr:colOff>2315182</xdr:colOff>
      <xdr:row>146</xdr:row>
      <xdr:rowOff>43389</xdr:rowOff>
    </xdr:to>
    <xdr:sp macro="" textlink="">
      <xdr:nvSpPr>
        <xdr:cNvPr id="177" name="“下一步”按钮" descr="返回页首，超链接到 A1 单元格">
          <a:hlinkClick xmlns:r="http://schemas.openxmlformats.org/officeDocument/2006/relationships" r:id="rId4" tooltip="返回页首"/>
          <a:extLst>
            <a:ext uri="{FF2B5EF4-FFF2-40B4-BE49-F238E27FC236}">
              <a16:creationId xmlns:a16="http://schemas.microsoft.com/office/drawing/2014/main" id="{F1F17ADA-3374-4672-8F57-B7354AE50F61}"/>
            </a:ext>
          </a:extLst>
        </xdr:cNvPr>
        <xdr:cNvSpPr/>
      </xdr:nvSpPr>
      <xdr:spPr>
        <a:xfrm>
          <a:off x="652334" y="29871951"/>
          <a:ext cx="2758223" cy="518088"/>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lientData/>
  </xdr:twoCellAnchor>
  <xdr:twoCellAnchor editAs="absolute">
    <xdr:from>
      <xdr:col>1</xdr:col>
      <xdr:colOff>3627683</xdr:colOff>
      <xdr:row>144</xdr:row>
      <xdr:rowOff>127080</xdr:rowOff>
    </xdr:from>
    <xdr:to>
      <xdr:col>1</xdr:col>
      <xdr:colOff>4779558</xdr:colOff>
      <xdr:row>146</xdr:row>
      <xdr:rowOff>46037</xdr:rowOff>
    </xdr:to>
    <xdr:sp macro="" textlink="">
      <xdr:nvSpPr>
        <xdr:cNvPr id="178" name="“下一步”按钮" descr="“下一步”按钮，超链接到下一个工作表">
          <a:hlinkClick xmlns:r="http://schemas.openxmlformats.org/officeDocument/2006/relationships" r:id="rId3" tooltip="单击此处可转到下一个工作表"/>
          <a:extLst>
            <a:ext uri="{FF2B5EF4-FFF2-40B4-BE49-F238E27FC236}">
              <a16:creationId xmlns:a16="http://schemas.microsoft.com/office/drawing/2014/main" id="{21885DC0-F099-46D4-A1CF-17E11C390036}"/>
            </a:ext>
          </a:extLst>
        </xdr:cNvPr>
        <xdr:cNvSpPr/>
      </xdr:nvSpPr>
      <xdr:spPr>
        <a:xfrm>
          <a:off x="4723058" y="30054630"/>
          <a:ext cx="1151875" cy="33805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twoCellAnchor editAs="absolute">
    <xdr:from>
      <xdr:col>1</xdr:col>
      <xdr:colOff>2627790</xdr:colOff>
      <xdr:row>140</xdr:row>
      <xdr:rowOff>104508</xdr:rowOff>
    </xdr:from>
    <xdr:to>
      <xdr:col>1</xdr:col>
      <xdr:colOff>4495597</xdr:colOff>
      <xdr:row>141</xdr:row>
      <xdr:rowOff>186266</xdr:rowOff>
    </xdr:to>
    <xdr:sp macro="" textlink="">
      <xdr:nvSpPr>
        <xdr:cNvPr id="179" name="步骤" descr="免费 Excel 在线培训，超链接到网页&#10;">
          <a:hlinkClick xmlns:r="http://schemas.openxmlformats.org/officeDocument/2006/relationships" r:id="rId5" tooltip="选择此处，从网页上了解免费 Excel 培训"/>
          <a:extLst>
            <a:ext uri="{FF2B5EF4-FFF2-40B4-BE49-F238E27FC236}">
              <a16:creationId xmlns:a16="http://schemas.microsoft.com/office/drawing/2014/main" id="{8052CE9F-9F0B-4E5C-BCC9-9FAF4B271CC6}"/>
            </a:ext>
          </a:extLst>
        </xdr:cNvPr>
        <xdr:cNvSpPr txBox="1"/>
      </xdr:nvSpPr>
      <xdr:spPr>
        <a:xfrm>
          <a:off x="3723165" y="29193858"/>
          <a:ext cx="1867807" cy="291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clientData/>
  </xdr:twoCellAnchor>
  <xdr:twoCellAnchor editAs="absolute">
    <xdr:from>
      <xdr:col>1</xdr:col>
      <xdr:colOff>2162606</xdr:colOff>
      <xdr:row>140</xdr:row>
      <xdr:rowOff>32271</xdr:rowOff>
    </xdr:from>
    <xdr:to>
      <xdr:col>1</xdr:col>
      <xdr:colOff>2657338</xdr:colOff>
      <xdr:row>142</xdr:row>
      <xdr:rowOff>48953</xdr:rowOff>
    </xdr:to>
    <xdr:pic>
      <xdr:nvPicPr>
        <xdr:cNvPr id="180" name="图形 22" descr="箭头">
          <a:hlinkClick xmlns:r="http://schemas.openxmlformats.org/officeDocument/2006/relationships" r:id="rId5" tooltip="选择此处，从网页上了解详细信息"/>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9121621"/>
          <a:ext cx="494732" cy="435782"/>
        </a:xfrm>
        <a:prstGeom prst="rect">
          <a:avLst/>
        </a:prstGeom>
      </xdr:spPr>
    </xdr:pic>
    <xdr:clientData/>
  </xdr:twoCellAnchor>
  <xdr:twoCellAnchor editAs="absolute">
    <xdr:from>
      <xdr:col>1</xdr:col>
      <xdr:colOff>2627791</xdr:colOff>
      <xdr:row>138</xdr:row>
      <xdr:rowOff>94855</xdr:rowOff>
    </xdr:from>
    <xdr:to>
      <xdr:col>1</xdr:col>
      <xdr:colOff>4897655</xdr:colOff>
      <xdr:row>139</xdr:row>
      <xdr:rowOff>192766</xdr:rowOff>
    </xdr:to>
    <xdr:sp macro="" textlink="">
      <xdr:nvSpPr>
        <xdr:cNvPr id="181" name="步骤" descr="有关 MAXIFS 函数的全部内容，超链接到网页&#10;&#10;">
          <a:hlinkClick xmlns:r="http://schemas.openxmlformats.org/officeDocument/2006/relationships" r:id="rId8" tooltip="选择此处，从网页上了解有关 MAXIFS 函数的全部内容"/>
          <a:extLst>
            <a:ext uri="{FF2B5EF4-FFF2-40B4-BE49-F238E27FC236}">
              <a16:creationId xmlns:a16="http://schemas.microsoft.com/office/drawing/2014/main" id="{3FFDC6A0-9831-442E-AB6B-F06D71AAAD14}"/>
            </a:ext>
          </a:extLst>
        </xdr:cNvPr>
        <xdr:cNvSpPr txBox="1"/>
      </xdr:nvSpPr>
      <xdr:spPr>
        <a:xfrm>
          <a:off x="3723166" y="28765105"/>
          <a:ext cx="2269864" cy="307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2162606</xdr:colOff>
      <xdr:row>138</xdr:row>
      <xdr:rowOff>38771</xdr:rowOff>
    </xdr:from>
    <xdr:to>
      <xdr:col>1</xdr:col>
      <xdr:colOff>2657338</xdr:colOff>
      <xdr:row>140</xdr:row>
      <xdr:rowOff>39300</xdr:rowOff>
    </xdr:to>
    <xdr:pic>
      <xdr:nvPicPr>
        <xdr:cNvPr id="182"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709021"/>
          <a:ext cx="494732" cy="419629"/>
        </a:xfrm>
        <a:prstGeom prst="rect">
          <a:avLst/>
        </a:prstGeom>
      </xdr:spPr>
    </xdr:pic>
    <xdr:clientData/>
  </xdr:twoCellAnchor>
  <xdr:twoCellAnchor editAs="absolute">
    <xdr:from>
      <xdr:col>1</xdr:col>
      <xdr:colOff>2627791</xdr:colOff>
      <xdr:row>136</xdr:row>
      <xdr:rowOff>109143</xdr:rowOff>
    </xdr:from>
    <xdr:to>
      <xdr:col>1</xdr:col>
      <xdr:colOff>5108257</xdr:colOff>
      <xdr:row>137</xdr:row>
      <xdr:rowOff>197529</xdr:rowOff>
    </xdr:to>
    <xdr:sp macro="" textlink="">
      <xdr:nvSpPr>
        <xdr:cNvPr id="183" name="步骤" descr="有关 AVERAGEIFS 函数的全部内容，超链接到网页&#10;&#10;">
          <a:hlinkClick xmlns:r="http://schemas.openxmlformats.org/officeDocument/2006/relationships" r:id="rId9" tooltip="选择此处，从网页上了解有关 AVERAGEIFS 函数的全部内容"/>
          <a:extLst>
            <a:ext uri="{FF2B5EF4-FFF2-40B4-BE49-F238E27FC236}">
              <a16:creationId xmlns:a16="http://schemas.microsoft.com/office/drawing/2014/main" id="{5979CD87-1D2E-4D32-BF44-CE7F4285B790}"/>
            </a:ext>
          </a:extLst>
        </xdr:cNvPr>
        <xdr:cNvSpPr txBox="1"/>
      </xdr:nvSpPr>
      <xdr:spPr>
        <a:xfrm>
          <a:off x="3723166" y="28360293"/>
          <a:ext cx="2480466"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AVERAGEIFS</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2162606</xdr:colOff>
      <xdr:row>136</xdr:row>
      <xdr:rowOff>43534</xdr:rowOff>
    </xdr:from>
    <xdr:to>
      <xdr:col>1</xdr:col>
      <xdr:colOff>2657338</xdr:colOff>
      <xdr:row>138</xdr:row>
      <xdr:rowOff>53588</xdr:rowOff>
    </xdr:to>
    <xdr:pic>
      <xdr:nvPicPr>
        <xdr:cNvPr id="184" name="图形 22" descr="箭头">
          <a:hlinkClick xmlns:r="http://schemas.openxmlformats.org/officeDocument/2006/relationships" r:id="rId9" tooltip="选择此处，从网页上了解详细信息"/>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294684"/>
          <a:ext cx="494732" cy="429154"/>
        </a:xfrm>
        <a:prstGeom prst="rect">
          <a:avLst/>
        </a:prstGeom>
      </xdr:spPr>
    </xdr:pic>
    <xdr:clientData/>
  </xdr:twoCellAnchor>
  <xdr:twoCellAnchor editAs="absolute">
    <xdr:from>
      <xdr:col>0</xdr:col>
      <xdr:colOff>951391</xdr:colOff>
      <xdr:row>136</xdr:row>
      <xdr:rowOff>109143</xdr:rowOff>
    </xdr:from>
    <xdr:to>
      <xdr:col>1</xdr:col>
      <xdr:colOff>2212035</xdr:colOff>
      <xdr:row>137</xdr:row>
      <xdr:rowOff>197529</xdr:rowOff>
    </xdr:to>
    <xdr:sp macro="" textlink="">
      <xdr:nvSpPr>
        <xdr:cNvPr id="185" name="步骤" descr="有关 AVERAGEIF 函数的全部内容，超链接到网页&#10;&#10;">
          <a:hlinkClick xmlns:r="http://schemas.openxmlformats.org/officeDocument/2006/relationships" r:id="rId10" tooltip="选择此处，从网页上了解有关 AVERAGEIF 函数的全部内容"/>
          <a:extLst>
            <a:ext uri="{FF2B5EF4-FFF2-40B4-BE49-F238E27FC236}">
              <a16:creationId xmlns:a16="http://schemas.microsoft.com/office/drawing/2014/main" id="{9FF9239A-F102-47F3-A0A3-68BDFAFB9C67}"/>
            </a:ext>
          </a:extLst>
        </xdr:cNvPr>
        <xdr:cNvSpPr txBox="1"/>
      </xdr:nvSpPr>
      <xdr:spPr>
        <a:xfrm>
          <a:off x="951391" y="28360293"/>
          <a:ext cx="2356019"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136</xdr:row>
      <xdr:rowOff>41152</xdr:rowOff>
    </xdr:from>
    <xdr:to>
      <xdr:col>0</xdr:col>
      <xdr:colOff>980938</xdr:colOff>
      <xdr:row>138</xdr:row>
      <xdr:rowOff>51206</xdr:rowOff>
    </xdr:to>
    <xdr:pic>
      <xdr:nvPicPr>
        <xdr:cNvPr id="186" name="图形 22" descr="箭头">
          <a:hlinkClick xmlns:r="http://schemas.openxmlformats.org/officeDocument/2006/relationships" r:id="rId10" tooltip="选择此处，从网页上了解详细信息"/>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292302"/>
          <a:ext cx="494732" cy="429154"/>
        </a:xfrm>
        <a:prstGeom prst="rect">
          <a:avLst/>
        </a:prstGeom>
      </xdr:spPr>
    </xdr:pic>
    <xdr:clientData/>
  </xdr:twoCellAnchor>
  <xdr:twoCellAnchor editAs="absolute">
    <xdr:from>
      <xdr:col>0</xdr:col>
      <xdr:colOff>951390</xdr:colOff>
      <xdr:row>138</xdr:row>
      <xdr:rowOff>94855</xdr:rowOff>
    </xdr:from>
    <xdr:to>
      <xdr:col>1</xdr:col>
      <xdr:colOff>2011006</xdr:colOff>
      <xdr:row>139</xdr:row>
      <xdr:rowOff>192766</xdr:rowOff>
    </xdr:to>
    <xdr:sp macro="" textlink="">
      <xdr:nvSpPr>
        <xdr:cNvPr id="187" name="步骤" descr="有关 MINIFS 函数的全部内容，超链接到网页&#10;&#10;">
          <a:hlinkClick xmlns:r="http://schemas.openxmlformats.org/officeDocument/2006/relationships" r:id="rId11" tooltip="选择此处，从网页上了解有关 MINIFS 函数的全部内容"/>
          <a:extLst>
            <a:ext uri="{FF2B5EF4-FFF2-40B4-BE49-F238E27FC236}">
              <a16:creationId xmlns:a16="http://schemas.microsoft.com/office/drawing/2014/main" id="{5BA88C28-4CAB-4843-A9C6-0DA18559CEDE}"/>
            </a:ext>
          </a:extLst>
        </xdr:cNvPr>
        <xdr:cNvSpPr txBox="1"/>
      </xdr:nvSpPr>
      <xdr:spPr>
        <a:xfrm>
          <a:off x="951390" y="28765105"/>
          <a:ext cx="2154991" cy="307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138</xdr:row>
      <xdr:rowOff>30436</xdr:rowOff>
    </xdr:from>
    <xdr:to>
      <xdr:col>0</xdr:col>
      <xdr:colOff>980938</xdr:colOff>
      <xdr:row>140</xdr:row>
      <xdr:rowOff>30965</xdr:rowOff>
    </xdr:to>
    <xdr:pic>
      <xdr:nvPicPr>
        <xdr:cNvPr id="188" name="图形 22" descr="箭头">
          <a:hlinkClick xmlns:r="http://schemas.openxmlformats.org/officeDocument/2006/relationships" r:id="rId11" tooltip="选择此处，从网页上了解详细信息"/>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700686"/>
          <a:ext cx="494732" cy="419629"/>
        </a:xfrm>
        <a:prstGeom prst="rect">
          <a:avLst/>
        </a:prstGeom>
      </xdr:spPr>
    </xdr:pic>
    <xdr:clientData/>
  </xdr:twoCellAnchor>
  <xdr:twoCellAnchor editAs="absolute">
    <xdr:from>
      <xdr:col>1</xdr:col>
      <xdr:colOff>2627791</xdr:colOff>
      <xdr:row>134</xdr:row>
      <xdr:rowOff>123430</xdr:rowOff>
    </xdr:from>
    <xdr:to>
      <xdr:col>1</xdr:col>
      <xdr:colOff>4964665</xdr:colOff>
      <xdr:row>136</xdr:row>
      <xdr:rowOff>2266</xdr:rowOff>
    </xdr:to>
    <xdr:sp macro="" textlink="">
      <xdr:nvSpPr>
        <xdr:cNvPr id="189" name="步骤" descr="有关 COUNTIFS 函数的全部内容，超链接到网页&#10;&#10;">
          <a:hlinkClick xmlns:r="http://schemas.openxmlformats.org/officeDocument/2006/relationships" r:id="rId12" tooltip="选择此处，从网页上了解有关 COUNTIFS 函数的全部内容"/>
          <a:extLst>
            <a:ext uri="{FF2B5EF4-FFF2-40B4-BE49-F238E27FC236}">
              <a16:creationId xmlns:a16="http://schemas.microsoft.com/office/drawing/2014/main" id="{EADD320D-BECB-4510-A526-402BC7B8CE52}"/>
            </a:ext>
          </a:extLst>
        </xdr:cNvPr>
        <xdr:cNvSpPr txBox="1"/>
      </xdr:nvSpPr>
      <xdr:spPr>
        <a:xfrm>
          <a:off x="3723166" y="27955480"/>
          <a:ext cx="2336874"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2162606</xdr:colOff>
      <xdr:row>134</xdr:row>
      <xdr:rowOff>57821</xdr:rowOff>
    </xdr:from>
    <xdr:to>
      <xdr:col>1</xdr:col>
      <xdr:colOff>2657338</xdr:colOff>
      <xdr:row>136</xdr:row>
      <xdr:rowOff>67875</xdr:rowOff>
    </xdr:to>
    <xdr:pic>
      <xdr:nvPicPr>
        <xdr:cNvPr id="190" name="图形 22" descr="箭头">
          <a:hlinkClick xmlns:r="http://schemas.openxmlformats.org/officeDocument/2006/relationships" r:id="rId12" tooltip="选择此处，从网页上了解详细信息"/>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889871"/>
          <a:ext cx="494732" cy="429154"/>
        </a:xfrm>
        <a:prstGeom prst="rect">
          <a:avLst/>
        </a:prstGeom>
      </xdr:spPr>
    </xdr:pic>
    <xdr:clientData/>
  </xdr:twoCellAnchor>
  <xdr:twoCellAnchor editAs="absolute">
    <xdr:from>
      <xdr:col>1</xdr:col>
      <xdr:colOff>2627791</xdr:colOff>
      <xdr:row>132</xdr:row>
      <xdr:rowOff>128193</xdr:rowOff>
    </xdr:from>
    <xdr:to>
      <xdr:col>1</xdr:col>
      <xdr:colOff>4811500</xdr:colOff>
      <xdr:row>134</xdr:row>
      <xdr:rowOff>7029</xdr:rowOff>
    </xdr:to>
    <xdr:sp macro="" textlink="">
      <xdr:nvSpPr>
        <xdr:cNvPr id="191" name="步骤" descr="有关 SUMIFS 函数的全部内容，超链接到网页&#10;&#10;">
          <a:hlinkClick xmlns:r="http://schemas.openxmlformats.org/officeDocument/2006/relationships" r:id="rId13" tooltip="选择此处，从网页上了解有关 SUMIFS 函数的全部内容"/>
          <a:extLst>
            <a:ext uri="{FF2B5EF4-FFF2-40B4-BE49-F238E27FC236}">
              <a16:creationId xmlns:a16="http://schemas.microsoft.com/office/drawing/2014/main" id="{791E8E89-8DEE-430C-AEDB-E56F74AA279F}"/>
            </a:ext>
          </a:extLst>
        </xdr:cNvPr>
        <xdr:cNvSpPr txBox="1"/>
      </xdr:nvSpPr>
      <xdr:spPr>
        <a:xfrm>
          <a:off x="3723166" y="27541143"/>
          <a:ext cx="2183709"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2162606</xdr:colOff>
      <xdr:row>132</xdr:row>
      <xdr:rowOff>62584</xdr:rowOff>
    </xdr:from>
    <xdr:to>
      <xdr:col>1</xdr:col>
      <xdr:colOff>2657338</xdr:colOff>
      <xdr:row>134</xdr:row>
      <xdr:rowOff>72638</xdr:rowOff>
    </xdr:to>
    <xdr:pic>
      <xdr:nvPicPr>
        <xdr:cNvPr id="192" name="图形 22" descr="箭头">
          <a:hlinkClick xmlns:r="http://schemas.openxmlformats.org/officeDocument/2006/relationships" r:id="rId13" tooltip="选择此处，从网页上了解详细信息"/>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475534"/>
          <a:ext cx="494732" cy="429154"/>
        </a:xfrm>
        <a:prstGeom prst="rect">
          <a:avLst/>
        </a:prstGeom>
      </xdr:spPr>
    </xdr:pic>
    <xdr:clientData/>
  </xdr:twoCellAnchor>
  <xdr:twoCellAnchor editAs="absolute">
    <xdr:from>
      <xdr:col>0</xdr:col>
      <xdr:colOff>951391</xdr:colOff>
      <xdr:row>132</xdr:row>
      <xdr:rowOff>128193</xdr:rowOff>
    </xdr:from>
    <xdr:to>
      <xdr:col>1</xdr:col>
      <xdr:colOff>1896134</xdr:colOff>
      <xdr:row>134</xdr:row>
      <xdr:rowOff>7029</xdr:rowOff>
    </xdr:to>
    <xdr:sp macro="" textlink="">
      <xdr:nvSpPr>
        <xdr:cNvPr id="193" name="步骤" descr="有关 SUMIF 函数的全部内容，超链接到网页&#10;&#10;">
          <a:hlinkClick xmlns:r="http://schemas.openxmlformats.org/officeDocument/2006/relationships" r:id="rId14" tooltip="选择此处，从网页上了解有关 SUMIF 函数的全部内容"/>
          <a:extLst>
            <a:ext uri="{FF2B5EF4-FFF2-40B4-BE49-F238E27FC236}">
              <a16:creationId xmlns:a16="http://schemas.microsoft.com/office/drawing/2014/main" id="{EAC8BE16-FCC7-483A-A30D-3B1F29F65450}"/>
            </a:ext>
          </a:extLst>
        </xdr:cNvPr>
        <xdr:cNvSpPr txBox="1"/>
      </xdr:nvSpPr>
      <xdr:spPr>
        <a:xfrm>
          <a:off x="951391" y="27541143"/>
          <a:ext cx="2040118"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132</xdr:row>
      <xdr:rowOff>62584</xdr:rowOff>
    </xdr:from>
    <xdr:to>
      <xdr:col>0</xdr:col>
      <xdr:colOff>980938</xdr:colOff>
      <xdr:row>134</xdr:row>
      <xdr:rowOff>72638</xdr:rowOff>
    </xdr:to>
    <xdr:pic>
      <xdr:nvPicPr>
        <xdr:cNvPr id="194" name="图形 22" descr="箭头">
          <a:hlinkClick xmlns:r="http://schemas.openxmlformats.org/officeDocument/2006/relationships" r:id="rId14" tooltip="选择此处，从网页上了解详细信息"/>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475534"/>
          <a:ext cx="494732" cy="429154"/>
        </a:xfrm>
        <a:prstGeom prst="rect">
          <a:avLst/>
        </a:prstGeom>
      </xdr:spPr>
    </xdr:pic>
    <xdr:clientData/>
  </xdr:twoCellAnchor>
  <xdr:twoCellAnchor editAs="absolute">
    <xdr:from>
      <xdr:col>0</xdr:col>
      <xdr:colOff>951391</xdr:colOff>
      <xdr:row>134</xdr:row>
      <xdr:rowOff>123430</xdr:rowOff>
    </xdr:from>
    <xdr:to>
      <xdr:col>1</xdr:col>
      <xdr:colOff>2068444</xdr:colOff>
      <xdr:row>136</xdr:row>
      <xdr:rowOff>2266</xdr:rowOff>
    </xdr:to>
    <xdr:sp macro="" textlink="">
      <xdr:nvSpPr>
        <xdr:cNvPr id="195" name="步骤" descr="有关 COUNTIF 函数的全部内容，超链接到网页&#10;&#10;">
          <a:hlinkClick xmlns:r="http://schemas.openxmlformats.org/officeDocument/2006/relationships" r:id="rId15" tooltip="选择此处，从网页上了解有关 COUNTIF 函数的全部内容"/>
          <a:extLst>
            <a:ext uri="{FF2B5EF4-FFF2-40B4-BE49-F238E27FC236}">
              <a16:creationId xmlns:a16="http://schemas.microsoft.com/office/drawing/2014/main" id="{C6912341-001C-497C-904C-1E09825E8C65}"/>
            </a:ext>
          </a:extLst>
        </xdr:cNvPr>
        <xdr:cNvSpPr txBox="1"/>
      </xdr:nvSpPr>
      <xdr:spPr>
        <a:xfrm>
          <a:off x="951391" y="27955480"/>
          <a:ext cx="2212428" cy="297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05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134</xdr:row>
      <xdr:rowOff>51868</xdr:rowOff>
    </xdr:from>
    <xdr:to>
      <xdr:col>0</xdr:col>
      <xdr:colOff>980938</xdr:colOff>
      <xdr:row>136</xdr:row>
      <xdr:rowOff>61922</xdr:rowOff>
    </xdr:to>
    <xdr:pic>
      <xdr:nvPicPr>
        <xdr:cNvPr id="196" name="图形 22" descr="箭头">
          <a:hlinkClick xmlns:r="http://schemas.openxmlformats.org/officeDocument/2006/relationships" r:id="rId15" tooltip="选择此处，从网页上了解详细信息"/>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883918"/>
          <a:ext cx="494732" cy="429154"/>
        </a:xfrm>
        <a:prstGeom prst="rect">
          <a:avLst/>
        </a:prstGeom>
      </xdr:spPr>
    </xdr:pic>
    <xdr:clientData/>
  </xdr:twoCellAnchor>
  <xdr:twoCellAnchor editAs="absolute">
    <xdr:from>
      <xdr:col>0</xdr:col>
      <xdr:colOff>951391</xdr:colOff>
      <xdr:row>140</xdr:row>
      <xdr:rowOff>75805</xdr:rowOff>
    </xdr:from>
    <xdr:to>
      <xdr:col>1</xdr:col>
      <xdr:colOff>1756192</xdr:colOff>
      <xdr:row>141</xdr:row>
      <xdr:rowOff>173716</xdr:rowOff>
    </xdr:to>
    <xdr:sp macro="" textlink="">
      <xdr:nvSpPr>
        <xdr:cNvPr id="197" name="步骤" descr="创建下拉列表。超链接到网页&#10;&#10;">
          <a:hlinkClick xmlns:r="http://schemas.openxmlformats.org/officeDocument/2006/relationships" r:id="rId16" tooltip="选择此处，从网页上了解有关创建下拉列表的所有内容"/>
          <a:extLst>
            <a:ext uri="{FF2B5EF4-FFF2-40B4-BE49-F238E27FC236}">
              <a16:creationId xmlns:a16="http://schemas.microsoft.com/office/drawing/2014/main" id="{0E1FD4BB-1B69-400F-9A73-D9D7B8667E1C}"/>
            </a:ext>
          </a:extLst>
        </xdr:cNvPr>
        <xdr:cNvSpPr txBox="1"/>
      </xdr:nvSpPr>
      <xdr:spPr>
        <a:xfrm>
          <a:off x="951391" y="29165155"/>
          <a:ext cx="1900176" cy="307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05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创建下拉列表</a:t>
          </a:r>
        </a:p>
      </xdr:txBody>
    </xdr:sp>
    <xdr:clientData/>
  </xdr:twoCellAnchor>
  <xdr:twoCellAnchor editAs="absolute">
    <xdr:from>
      <xdr:col>0</xdr:col>
      <xdr:colOff>486206</xdr:colOff>
      <xdr:row>140</xdr:row>
      <xdr:rowOff>19721</xdr:rowOff>
    </xdr:from>
    <xdr:to>
      <xdr:col>0</xdr:col>
      <xdr:colOff>980938</xdr:colOff>
      <xdr:row>142</xdr:row>
      <xdr:rowOff>20250</xdr:rowOff>
    </xdr:to>
    <xdr:pic>
      <xdr:nvPicPr>
        <xdr:cNvPr id="198" name="图形 22" descr="箭头">
          <a:hlinkClick xmlns:r="http://schemas.openxmlformats.org/officeDocument/2006/relationships" r:id="rId16" tooltip="选择此处，从网页上了解详细信息"/>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9109071"/>
          <a:ext cx="494732" cy="419629"/>
        </a:xfrm>
        <a:prstGeom prst="rect">
          <a:avLst/>
        </a:prstGeom>
      </xdr:spPr>
    </xdr:pic>
    <xdr:clientData/>
  </xdr:twoCellAnchor>
  <xdr:twoCellAnchor editAs="absolute">
    <xdr:from>
      <xdr:col>0</xdr:col>
      <xdr:colOff>523788</xdr:colOff>
      <xdr:row>20</xdr:row>
      <xdr:rowOff>38100</xdr:rowOff>
    </xdr:from>
    <xdr:to>
      <xdr:col>1</xdr:col>
      <xdr:colOff>4743450</xdr:colOff>
      <xdr:row>24</xdr:row>
      <xdr:rowOff>66675</xdr:rowOff>
    </xdr:to>
    <xdr:grpSp>
      <xdr:nvGrpSpPr>
        <xdr:cNvPr id="4" name="组 3">
          <a:extLst>
            <a:ext uri="{FF2B5EF4-FFF2-40B4-BE49-F238E27FC236}">
              <a16:creationId xmlns:a16="http://schemas.microsoft.com/office/drawing/2014/main" id="{5F83CBBA-90B0-4EB0-9AB8-57CF000EADA5}"/>
            </a:ext>
          </a:extLst>
        </xdr:cNvPr>
        <xdr:cNvGrpSpPr/>
      </xdr:nvGrpSpPr>
      <xdr:grpSpPr>
        <a:xfrm>
          <a:off x="523788" y="4419600"/>
          <a:ext cx="5315037" cy="790575"/>
          <a:chOff x="571500" y="4610100"/>
          <a:chExt cx="5305356" cy="790575"/>
        </a:xfrm>
      </xdr:grpSpPr>
      <xdr:sp macro="" textlink="">
        <xdr:nvSpPr>
          <xdr:cNvPr id="200" name="文本_步骤" descr="SUMIFS 与 SUMIF 相同，但它允许你使用多个条件。因此在此示例中，可查找水果和类型，而不仅仅是按水果排序。选择单元格 H17 并键入 =SUMIFS(H3:H14,F3:F14,F17,G3:G14,G17)。SUMIFS 的结构如下所示：&#10;&#10;&#10;">
            <a:extLst>
              <a:ext uri="{FF2B5EF4-FFF2-40B4-BE49-F238E27FC236}">
                <a16:creationId xmlns:a16="http://schemas.microsoft.com/office/drawing/2014/main" id="{4F912E6F-F743-47DF-85DF-3039C56B3212}"/>
              </a:ext>
            </a:extLst>
          </xdr:cNvPr>
          <xdr:cNvSpPr txBox="1"/>
        </xdr:nvSpPr>
        <xdr:spPr>
          <a:xfrm>
            <a:off x="991381" y="4652058"/>
            <a:ext cx="4885475" cy="748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=SUMIFS(H3:H14,F3:F14,F17,G3:G14,G17)</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1" name="形状_步骤"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361948</xdr:colOff>
      <xdr:row>111</xdr:row>
      <xdr:rowOff>180975</xdr:rowOff>
    </xdr:from>
    <xdr:to>
      <xdr:col>1</xdr:col>
      <xdr:colOff>5267773</xdr:colOff>
      <xdr:row>128</xdr:row>
      <xdr:rowOff>72587</xdr:rowOff>
    </xdr:to>
    <xdr:grpSp>
      <xdr:nvGrpSpPr>
        <xdr:cNvPr id="202" name="有关 SUMIF 的详细信息" descr="有关 SUM 函数的详细信息&#10;在上面的一些提示中，我们向你演示了如何使用 SUM 函数。下面是&#10;关于该函数的详细信息。双击右侧的一个黄色单元格，然后阅读下面的文本。&#10;如果对 SUM 函数进行解释，应会是：&#10;对这些值进行求和：&#10;...单元格 D38、D39、D40 和 D41 中的值。&#10;=SUM(D38:D41)&#10;下面是另一种可以使用的方法：&#10;对这些值进行求和：...单元格 D49 中的值，...单元格 G48、G49、G50 和 G51 中的值，...100&#10;=SUM(D48,G48:G51,100)&#10;上述公式中使用了下列内容：&#10;单个单元格引用，它是单元格的“地址”或“名称”。上述公式中，D48 是单个单元格引用。&#10;单元格范围，这是一系列单元格，从一个单元格开始并以另一个单元格结束。&#10;公式中 G48:G51 是单元格范围。&#10;常量。此公式中的常数是数字 100">
          <a:extLst>
            <a:ext uri="{FF2B5EF4-FFF2-40B4-BE49-F238E27FC236}">
              <a16:creationId xmlns:a16="http://schemas.microsoft.com/office/drawing/2014/main" id="{B8E178DB-194F-437D-A671-57E96B94B0C8}"/>
            </a:ext>
          </a:extLst>
        </xdr:cNvPr>
        <xdr:cNvGrpSpPr/>
      </xdr:nvGrpSpPr>
      <xdr:grpSpPr>
        <a:xfrm>
          <a:off x="361948" y="23155275"/>
          <a:ext cx="6001200" cy="3492062"/>
          <a:chOff x="347872" y="13364013"/>
          <a:chExt cx="5695950" cy="3673037"/>
        </a:xfrm>
      </xdr:grpSpPr>
      <xdr:sp macro="" textlink="">
        <xdr:nvSpPr>
          <xdr:cNvPr id="203" name="矩形 202" descr="背景">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04" name="直接连接符​​ 203" descr="装饰性线条">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直接连接符​​ 204" descr="装饰性线条">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步骤" descr="具有值参数的 SUMIF&#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具有值参数的 SUMIF</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07" name="步骤" descr="下面的 SUMIF 函数示例使用大于符号查找大于给定值的所有值：&#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下面</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的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函数示例使用大于符号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查找大于给定值的所有值：</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8" name="步骤" descr="注意：如果需要使用大量 SUMIF 公式，那么数据透视表是一种更好的解决方案。单击此处，从网页上查看数据透视表文章​​，了解有关详细信息&#10;">
            <a:hlinkClick xmlns:r="http://schemas.openxmlformats.org/officeDocument/2006/relationships" r:id="rId17" tooltip="选择此处，转到数据透视表工作表"/>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b="1"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注意：</a:t>
            </a: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需要使用大量条件公式，那么数据透视表是一种更好的解决方案。</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请参阅此数据透视表文章，了解详细信息</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9" name="文本框 100" descr="=SUMIF(D118:D122,&quot;&gt;50&quot;)&#10;&#10;&#10;">
            <a:extLst>
              <a:ext uri="{FF2B5EF4-FFF2-40B4-BE49-F238E27FC236}">
                <a16:creationId xmlns:a16="http://schemas.microsoft.com/office/drawing/2014/main" id="{081FEA47-A154-4881-BA88-6F77A1DA2820}"/>
              </a:ext>
            </a:extLst>
          </xdr:cNvPr>
          <xdr:cNvSpPr txBox="1"/>
        </xdr:nvSpPr>
        <xdr:spPr>
          <a:xfrm>
            <a:off x="541774" y="15709387"/>
            <a:ext cx="3577998"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effectLst/>
                <a:latin typeface="Courier New" panose="02070309020205020404" pitchFamily="49" charset="0"/>
                <a:ea typeface="Microsoft YaHei UI" panose="020B0503020204020204" pitchFamily="34" charset="-122"/>
                <a:cs typeface="Courier New" panose="02070309020205020404" pitchFamily="49" charset="0"/>
              </a:rPr>
              <a:t>=</a:t>
            </a:r>
            <a:r>
              <a:rPr lang="zh-cn" sz="2000">
                <a:solidFill>
                  <a:schemeClr val="dk1"/>
                </a:solidFill>
                <a:effectLst/>
                <a:latin typeface="Courier New" panose="02070309020205020404" pitchFamily="49" charset="0"/>
                <a:ea typeface="Microsoft YaHei UI" panose="020B0503020204020204" pitchFamily="34" charset="-122"/>
                <a:cs typeface="Courier New" panose="02070309020205020404" pitchFamily="49" charset="0"/>
              </a:rPr>
              <a:t>SUMIF(D118:D122,"&gt;</a:t>
            </a:r>
            <a:r>
              <a:rPr lang="zh-cn" sz="2000">
                <a:effectLst/>
                <a:latin typeface="Courier New" panose="02070309020205020404" pitchFamily="49" charset="0"/>
                <a:ea typeface="Microsoft YaHei UI" panose="020B0503020204020204" pitchFamily="34" charset="-122"/>
                <a:cs typeface="Courier New" panose="02070309020205020404" pitchFamily="49" charset="0"/>
              </a:rPr>
              <a:t>50")</a:t>
            </a:r>
          </a:p>
          <a:p>
            <a:pPr marL="0" marR="0" rtl="0">
              <a:spcBef>
                <a:spcPts val="0"/>
              </a:spcBef>
              <a:spcAft>
                <a:spcPts val="0"/>
              </a:spcAft>
            </a:pPr>
            <a:endParaRPr lang="en-US" sz="2000">
              <a:effectLst/>
              <a:latin typeface="Microsoft YaHei UI" panose="020B0503020204020204" pitchFamily="34" charset="-122"/>
              <a:ea typeface="Microsoft YaHei UI" panose="020B0503020204020204" pitchFamily="34" charset="-122"/>
            </a:endParaRPr>
          </a:p>
        </xdr:txBody>
      </xdr:sp>
      <xdr:sp macro="" textlink="">
        <xdr:nvSpPr>
          <xdr:cNvPr id="210" name="左括号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1" name="文本框 2" descr="根据此条件来对一些值求和：&#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30716"/>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根据此条件来对一些值求和：</a:t>
            </a:r>
          </a:p>
        </xdr:txBody>
      </xdr:sp>
      <xdr:sp macro="" textlink="">
        <xdr:nvSpPr>
          <xdr:cNvPr id="212" name="左括号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3" name="文本框 2" descr="....遍历查找这些单元格...&#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31002"/>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....遍历查找这些单元格...</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sp macro="" textlink="">
        <xdr:nvSpPr>
          <xdr:cNvPr id="214" name="左括号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5" name="文本框 2" descr="...如果值大于 50，则求和&#10; &#10;">
            <a:extLst>
              <a:ext uri="{FF2B5EF4-FFF2-40B4-BE49-F238E27FC236}">
                <a16:creationId xmlns:a16="http://schemas.microsoft.com/office/drawing/2014/main" id="{34E10F90-E5DA-4762-813E-A88E491D6100}"/>
              </a:ext>
            </a:extLst>
          </xdr:cNvPr>
          <xdr:cNvSpPr txBox="1">
            <a:spLocks noChangeArrowheads="1"/>
          </xdr:cNvSpPr>
        </xdr:nvSpPr>
        <xdr:spPr bwMode="auto">
          <a:xfrm>
            <a:off x="2983190" y="14631002"/>
            <a:ext cx="106089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...如果值大于 50，则求和。</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组 215">
          <a:extLst>
            <a:ext uri="{FF2B5EF4-FFF2-40B4-BE49-F238E27FC236}">
              <a16:creationId xmlns:a16="http://schemas.microsoft.com/office/drawing/2014/main" id="{0FA38FBC-68F7-4669-920A-9D32BAD15061}"/>
            </a:ext>
          </a:extLst>
        </xdr:cNvPr>
        <xdr:cNvGrpSpPr/>
      </xdr:nvGrpSpPr>
      <xdr:grpSpPr>
        <a:xfrm>
          <a:off x="9948476" y="3964967"/>
          <a:ext cx="5434399" cy="998981"/>
          <a:chOff x="9434126" y="7174892"/>
          <a:chExt cx="4148524" cy="998981"/>
        </a:xfrm>
      </xdr:grpSpPr>
      <xdr:grpSp>
        <xdr:nvGrpSpPr>
          <xdr:cNvPr id="217" name="组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专家提示" descr="专家提示">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图形 2" descr="猫头鹰">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步骤" descr="专家提示&#10;每种水果和类型单元格都有一个下拉列表，可在其中选择不同的水果。试一试，并观看公式自动更新。&#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每种水果和类型单元格都有一个下拉列表，可在其中选择不同的水果。试一试，并观看公式自动更新。</a:t>
                </a:r>
              </a:p>
            </xdr:txBody>
          </xdr:sp>
        </xdr:grpSp>
        <xdr:sp macro="" textlink="">
          <xdr:nvSpPr>
            <xdr:cNvPr id="220" name="任意多边形：形状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218" name="任意多边形：形状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200025</xdr:colOff>
      <xdr:row>10</xdr:row>
      <xdr:rowOff>114300</xdr:rowOff>
    </xdr:from>
    <xdr:to>
      <xdr:col>1</xdr:col>
      <xdr:colOff>4352925</xdr:colOff>
      <xdr:row>20</xdr:row>
      <xdr:rowOff>19051</xdr:rowOff>
    </xdr:to>
    <xdr:grpSp>
      <xdr:nvGrpSpPr>
        <xdr:cNvPr id="223" name="组 222">
          <a:extLst>
            <a:ext uri="{FF2B5EF4-FFF2-40B4-BE49-F238E27FC236}">
              <a16:creationId xmlns:a16="http://schemas.microsoft.com/office/drawing/2014/main" id="{6D0DD3D5-631D-4EF0-B8E5-3D745F7C34F8}"/>
            </a:ext>
          </a:extLst>
        </xdr:cNvPr>
        <xdr:cNvGrpSpPr/>
      </xdr:nvGrpSpPr>
      <xdr:grpSpPr>
        <a:xfrm>
          <a:off x="1295400" y="2590800"/>
          <a:ext cx="4152900" cy="1809751"/>
          <a:chOff x="3048000" y="4524375"/>
          <a:chExt cx="4152900" cy="1809751"/>
        </a:xfrm>
      </xdr:grpSpPr>
      <xdr:sp macro="" textlink="">
        <xdr:nvSpPr>
          <xdr:cNvPr id="224" name="文本_公式"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=SUMIF(C3:C14,C17,D3:D</a:t>
            </a:r>
            <a:r>
              <a:rPr lang="en-US" alt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1</a:t>
            </a: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5" name="组 224">
            <a:extLst>
              <a:ext uri="{FF2B5EF4-FFF2-40B4-BE49-F238E27FC236}">
                <a16:creationId xmlns:a16="http://schemas.microsoft.com/office/drawing/2014/main" id="{32BCCB5A-A2CD-497F-BF2F-258696BB6511}"/>
              </a:ext>
            </a:extLst>
          </xdr:cNvPr>
          <xdr:cNvGrpSpPr/>
        </xdr:nvGrpSpPr>
        <xdr:grpSpPr>
          <a:xfrm>
            <a:off x="3876675" y="4524375"/>
            <a:ext cx="1352550" cy="861227"/>
            <a:chOff x="3876675" y="4524375"/>
            <a:chExt cx="1352550" cy="861227"/>
          </a:xfrm>
        </xdr:grpSpPr>
        <xdr:sp macro="" textlink="">
          <xdr:nvSpPr>
            <xdr:cNvPr id="232" name="公式下括号">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3" name="文本_公式下部标注" descr="想查看哪个区域？&#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26" name="组 225">
            <a:extLst>
              <a:ext uri="{FF2B5EF4-FFF2-40B4-BE49-F238E27FC236}">
                <a16:creationId xmlns:a16="http://schemas.microsoft.com/office/drawing/2014/main" id="{6FA221CD-940C-4567-B73C-941BDC0DD971}"/>
              </a:ext>
            </a:extLst>
          </xdr:cNvPr>
          <xdr:cNvGrpSpPr/>
        </xdr:nvGrpSpPr>
        <xdr:grpSpPr>
          <a:xfrm>
            <a:off x="5353050" y="4524375"/>
            <a:ext cx="1847850" cy="861227"/>
            <a:chOff x="5353050" y="4524375"/>
            <a:chExt cx="1847850" cy="861227"/>
          </a:xfrm>
        </xdr:grpSpPr>
        <xdr:sp macro="" textlink="">
          <xdr:nvSpPr>
            <xdr:cNvPr id="230" name="公式下括号">
              <a:extLst>
                <a:ext uri="{FF2B5EF4-FFF2-40B4-BE49-F238E27FC236}">
                  <a16:creationId xmlns:a16="http://schemas.microsoft.com/office/drawing/2014/main" id="{0F30C154-2F1F-4A51-9F6F-727C94B1953E}"/>
                </a:ext>
              </a:extLst>
            </xdr:cNvPr>
            <xdr:cNvSpPr/>
          </xdr:nvSpPr>
          <xdr:spPr>
            <a:xfrm rot="5400000">
              <a:off x="59792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1" name="文本_公式下部标注" descr="对于找到的每个匹配项，你要对哪个区域求和？&#10;&#10;">
              <a:extLst>
                <a:ext uri="{FF2B5EF4-FFF2-40B4-BE49-F238E27FC236}">
                  <a16:creationId xmlns:a16="http://schemas.microsoft.com/office/drawing/2014/main" id="{DA6683AA-4CC0-471A-A679-B838AA382F23}"/>
                </a:ext>
              </a:extLst>
            </xdr:cNvPr>
            <xdr:cNvSpPr txBox="1">
              <a:spLocks noChangeArrowheads="1"/>
            </xdr:cNvSpPr>
          </xdr:nvSpPr>
          <xdr:spPr bwMode="auto">
            <a:xfrm>
              <a:off x="5353050" y="4524375"/>
              <a:ext cx="18478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90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对于找到的每个匹配项，你要对哪个区域求和？</a:t>
              </a:r>
            </a:p>
          </xdr:txBody>
        </xdr:sp>
      </xdr:grpSp>
      <xdr:grpSp>
        <xdr:nvGrpSpPr>
          <xdr:cNvPr id="227" name="组 226">
            <a:extLst>
              <a:ext uri="{FF2B5EF4-FFF2-40B4-BE49-F238E27FC236}">
                <a16:creationId xmlns:a16="http://schemas.microsoft.com/office/drawing/2014/main" id="{19ECD3AD-6B72-4E46-8FCA-D4C2D3D56A1B}"/>
              </a:ext>
            </a:extLst>
          </xdr:cNvPr>
          <xdr:cNvGrpSpPr/>
        </xdr:nvGrpSpPr>
        <xdr:grpSpPr>
          <a:xfrm>
            <a:off x="4267200" y="5610223"/>
            <a:ext cx="2247900" cy="723903"/>
            <a:chOff x="4267200" y="5610223"/>
            <a:chExt cx="2247900" cy="723903"/>
          </a:xfrm>
        </xdr:grpSpPr>
        <xdr:sp macro="" textlink="">
          <xdr:nvSpPr>
            <xdr:cNvPr id="228" name="公式上括号">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29" name="文本_公式上部标注" descr="想查找什么值（文本还是数字）？&#10;&#10;">
              <a:extLst>
                <a:ext uri="{FF2B5EF4-FFF2-40B4-BE49-F238E27FC236}">
                  <a16:creationId xmlns:a16="http://schemas.microsoft.com/office/drawing/2014/main" id="{B9D27F57-F8C2-4EE5-AF26-66707B0E05AE}"/>
                </a:ext>
              </a:extLst>
            </xdr:cNvPr>
            <xdr:cNvSpPr txBox="1">
              <a:spLocks noChangeArrowheads="1"/>
            </xdr:cNvSpPr>
          </xdr:nvSpPr>
          <xdr:spPr bwMode="auto">
            <a:xfrm>
              <a:off x="4267200" y="5991226"/>
              <a:ext cx="2247900" cy="34290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390525</xdr:colOff>
      <xdr:row>25</xdr:row>
      <xdr:rowOff>142875</xdr:rowOff>
    </xdr:from>
    <xdr:to>
      <xdr:col>1</xdr:col>
      <xdr:colOff>5181600</xdr:colOff>
      <xdr:row>38</xdr:row>
      <xdr:rowOff>180975</xdr:rowOff>
    </xdr:to>
    <xdr:grpSp>
      <xdr:nvGrpSpPr>
        <xdr:cNvPr id="234" name="组 233">
          <a:extLst>
            <a:ext uri="{FF2B5EF4-FFF2-40B4-BE49-F238E27FC236}">
              <a16:creationId xmlns:a16="http://schemas.microsoft.com/office/drawing/2014/main" id="{728ED977-068D-4BDD-9900-E7A1A0E01A3A}"/>
            </a:ext>
          </a:extLst>
        </xdr:cNvPr>
        <xdr:cNvGrpSpPr/>
      </xdr:nvGrpSpPr>
      <xdr:grpSpPr>
        <a:xfrm>
          <a:off x="390525" y="5476875"/>
          <a:ext cx="5886450" cy="2571750"/>
          <a:chOff x="3067468" y="2390775"/>
          <a:chExt cx="5762625" cy="2540272"/>
        </a:xfrm>
      </xdr:grpSpPr>
      <xdr:sp macro="" textlink="">
        <xdr:nvSpPr>
          <xdr:cNvPr id="235" name="公式上括号">
            <a:extLst>
              <a:ext uri="{FF2B5EF4-FFF2-40B4-BE49-F238E27FC236}">
                <a16:creationId xmlns:a16="http://schemas.microsoft.com/office/drawing/2014/main" id="{453E28FE-C60F-4575-A21E-10394924F1B6}"/>
              </a:ext>
            </a:extLst>
          </xdr:cNvPr>
          <xdr:cNvSpPr/>
        </xdr:nvSpPr>
        <xdr:spPr>
          <a:xfrm rot="16200000">
            <a:off x="7285412"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6" name="公式上括号">
            <a:extLst>
              <a:ext uri="{FF2B5EF4-FFF2-40B4-BE49-F238E27FC236}">
                <a16:creationId xmlns:a16="http://schemas.microsoft.com/office/drawing/2014/main" id="{B085E19B-EB18-43E6-AB6C-14F6D2AFA1F7}"/>
              </a:ext>
            </a:extLst>
          </xdr:cNvPr>
          <xdr:cNvSpPr/>
        </xdr:nvSpPr>
        <xdr:spPr>
          <a:xfrm rot="16200000">
            <a:off x="5610077"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7" name="公式下括号">
            <a:extLst>
              <a:ext uri="{FF2B5EF4-FFF2-40B4-BE49-F238E27FC236}">
                <a16:creationId xmlns:a16="http://schemas.microsoft.com/office/drawing/2014/main" id="{603AD5F7-68AF-446A-BFE6-540AB775EE0B}"/>
              </a:ext>
            </a:extLst>
          </xdr:cNvPr>
          <xdr:cNvSpPr/>
        </xdr:nvSpPr>
        <xdr:spPr>
          <a:xfrm rot="5400000">
            <a:off x="8024981"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8" name="公式下括号">
            <a:extLst>
              <a:ext uri="{FF2B5EF4-FFF2-40B4-BE49-F238E27FC236}">
                <a16:creationId xmlns:a16="http://schemas.microsoft.com/office/drawing/2014/main" id="{7F46ED5B-D0A5-48EA-9808-55AA0B5DCFB6}"/>
              </a:ext>
            </a:extLst>
          </xdr:cNvPr>
          <xdr:cNvSpPr/>
        </xdr:nvSpPr>
        <xdr:spPr>
          <a:xfrm rot="5400000">
            <a:off x="6458639"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9" name="公式下括号">
            <a:extLst>
              <a:ext uri="{FF2B5EF4-FFF2-40B4-BE49-F238E27FC236}">
                <a16:creationId xmlns:a16="http://schemas.microsoft.com/office/drawing/2014/main" id="{2B008E04-D970-4F41-8120-26A572840D06}"/>
              </a:ext>
            </a:extLst>
          </xdr:cNvPr>
          <xdr:cNvSpPr/>
        </xdr:nvSpPr>
        <xdr:spPr>
          <a:xfrm rot="5400000">
            <a:off x="446603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40" name="文本_公式" descr="=SUMIFS(H3:H14,F3:F14,F17,G3:G14,G17)&#10;&#10;">
            <a:extLst>
              <a:ext uri="{FF2B5EF4-FFF2-40B4-BE49-F238E27FC236}">
                <a16:creationId xmlns:a16="http://schemas.microsoft.com/office/drawing/2014/main" id="{E8F46D48-F21D-4E81-88FC-9A6B9FD03454}"/>
              </a:ext>
            </a:extLst>
          </xdr:cNvPr>
          <xdr:cNvSpPr txBox="1"/>
        </xdr:nvSpPr>
        <xdr:spPr>
          <a:xfrm>
            <a:off x="3067468" y="3619500"/>
            <a:ext cx="5762625" cy="408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=SUMIFS(H3:H14,F3:F14,F17,G3:G14,G17)</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41" name="文本_公式下部标注" descr="想对哪个区域求和？&#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想对哪个区域求和？</a:t>
            </a:r>
          </a:p>
        </xdr:txBody>
      </xdr:sp>
      <xdr:sp macro="" textlink="">
        <xdr:nvSpPr>
          <xdr:cNvPr id="242" name="文本_公式下部标注" descr="这是第一个匹配项的条件&#10;&#10;">
            <a:extLst>
              <a:ext uri="{FF2B5EF4-FFF2-40B4-BE49-F238E27FC236}">
                <a16:creationId xmlns:a16="http://schemas.microsoft.com/office/drawing/2014/main" id="{286630EC-EA3F-4D50-8FFF-0ED884EEF636}"/>
              </a:ext>
            </a:extLst>
          </xdr:cNvPr>
          <xdr:cNvSpPr txBox="1">
            <a:spLocks noChangeArrowheads="1"/>
          </xdr:cNvSpPr>
        </xdr:nvSpPr>
        <xdr:spPr bwMode="auto">
          <a:xfrm>
            <a:off x="6221707" y="2390775"/>
            <a:ext cx="856236"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这是第一个匹配项的条件</a:t>
            </a:r>
          </a:p>
        </xdr:txBody>
      </xdr:sp>
      <xdr:sp macro="" textlink="">
        <xdr:nvSpPr>
          <xdr:cNvPr id="243" name="文本_公式下部标注" descr="这是第二个匹配项的条件&#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5" y="2390775"/>
            <a:ext cx="766714"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这是第二个匹配项的条件</a:t>
            </a:r>
          </a:p>
        </xdr:txBody>
      </xdr:sp>
      <xdr:sp macro="" textlink="">
        <xdr:nvSpPr>
          <xdr:cNvPr id="244" name="文本_公式上部标注" descr="这是为匹配项查找的第一个范围&#10;&#10;">
            <a:extLst>
              <a:ext uri="{FF2B5EF4-FFF2-40B4-BE49-F238E27FC236}">
                <a16:creationId xmlns:a16="http://schemas.microsoft.com/office/drawing/2014/main" id="{0209406C-4AC6-478F-BBC6-E1CFFB3DE19A}"/>
              </a:ext>
            </a:extLst>
          </xdr:cNvPr>
          <xdr:cNvSpPr txBox="1">
            <a:spLocks noChangeArrowheads="1"/>
          </xdr:cNvSpPr>
        </xdr:nvSpPr>
        <xdr:spPr bwMode="auto">
          <a:xfrm>
            <a:off x="5160313" y="4257676"/>
            <a:ext cx="1265441" cy="65455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这是为匹配项查找的第一个范围</a:t>
            </a:r>
          </a:p>
        </xdr:txBody>
      </xdr:sp>
      <xdr:sp macro="" textlink="">
        <xdr:nvSpPr>
          <xdr:cNvPr id="245" name="文本_公式上部标注" descr="这是为匹配项查找的第二个范围&#10;">
            <a:extLst>
              <a:ext uri="{FF2B5EF4-FFF2-40B4-BE49-F238E27FC236}">
                <a16:creationId xmlns:a16="http://schemas.microsoft.com/office/drawing/2014/main" id="{4ADCD88A-8CD3-475F-887A-B5D4E4DD79EB}"/>
              </a:ext>
            </a:extLst>
          </xdr:cNvPr>
          <xdr:cNvSpPr txBox="1">
            <a:spLocks noChangeArrowheads="1"/>
          </xdr:cNvSpPr>
        </xdr:nvSpPr>
        <xdr:spPr bwMode="auto">
          <a:xfrm>
            <a:off x="6932316" y="4257675"/>
            <a:ext cx="1216385" cy="673372"/>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这是为匹配项查找的第二个范围</a:t>
            </a:r>
          </a:p>
        </xdr:txBody>
      </xdr:sp>
    </xdr:grpSp>
    <xdr:clientData/>
  </xdr:twoCellAnchor>
  <xdr:twoCellAnchor>
    <xdr:from>
      <xdr:col>0</xdr:col>
      <xdr:colOff>581025</xdr:colOff>
      <xdr:row>40</xdr:row>
      <xdr:rowOff>104775</xdr:rowOff>
    </xdr:from>
    <xdr:to>
      <xdr:col>1</xdr:col>
      <xdr:colOff>2456367</xdr:colOff>
      <xdr:row>43</xdr:row>
      <xdr:rowOff>64199</xdr:rowOff>
    </xdr:to>
    <xdr:sp macro="" textlink="">
      <xdr:nvSpPr>
        <xdr:cNvPr id="246" name="详细信息按钮" descr="向下滚动查看更多详细信息">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8391525"/>
          <a:ext cx="2723067" cy="58807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361950</xdr:colOff>
      <xdr:row>87</xdr:row>
      <xdr:rowOff>38099</xdr:rowOff>
    </xdr:from>
    <xdr:to>
      <xdr:col>1</xdr:col>
      <xdr:colOff>5267775</xdr:colOff>
      <xdr:row>111</xdr:row>
      <xdr:rowOff>85724</xdr:rowOff>
    </xdr:to>
    <xdr:grpSp>
      <xdr:nvGrpSpPr>
        <xdr:cNvPr id="247" name="组 246">
          <a:extLst>
            <a:ext uri="{FF2B5EF4-FFF2-40B4-BE49-F238E27FC236}">
              <a16:creationId xmlns:a16="http://schemas.microsoft.com/office/drawing/2014/main" id="{09584E15-D790-4D76-92D3-066AB32B2FF1}"/>
            </a:ext>
          </a:extLst>
        </xdr:cNvPr>
        <xdr:cNvGrpSpPr/>
      </xdr:nvGrpSpPr>
      <xdr:grpSpPr>
        <a:xfrm>
          <a:off x="361950" y="18211799"/>
          <a:ext cx="6001200" cy="4848225"/>
          <a:chOff x="171450" y="17059275"/>
          <a:chExt cx="5752743" cy="4424270"/>
        </a:xfrm>
      </xdr:grpSpPr>
      <xdr:sp macro="" textlink="">
        <xdr:nvSpPr>
          <xdr:cNvPr id="248" name="文本_教程背景" descr="背景">
            <a:extLst>
              <a:ext uri="{FF2B5EF4-FFF2-40B4-BE49-F238E27FC236}">
                <a16:creationId xmlns:a16="http://schemas.microsoft.com/office/drawing/2014/main" id="{8E61E9C5-65C2-4369-A6AF-D75ED603CD7B}"/>
              </a:ext>
            </a:extLst>
          </xdr:cNvPr>
          <xdr:cNvSpPr/>
        </xdr:nvSpPr>
        <xdr:spPr>
          <a:xfrm>
            <a:off x="171450" y="17059275"/>
            <a:ext cx="5752743" cy="442427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49" name="文本_教程标题" descr="更多条件函数">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更多条件函数</a:t>
            </a:r>
          </a:p>
        </xdr:txBody>
      </xdr:sp>
      <xdr:cxnSp macro="">
        <xdr:nvCxnSpPr>
          <xdr:cNvPr id="250" name="文本_教程线条 1" descr="装饰性线条">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文本_教程线条 2" descr="装饰性线条">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文本_教程简介" descr="你已了解 SUMIF、SUMIFS、COUNTIF 和 COUNTIFS。现在可自行尝试其他函数，例如 AVERAGEIF/S、MAXIFS、MINIFS。它们均以相同的方式构造，因此编写好一个公式以后，只需将函数名称替换为所需名称即可。我们已编写单元格 E106 所需的所有函数，因此你可复制/粘贴它们，或者自行尝试键入进行练习。&#10;&#10;SUMIF =SUMIF(C92:C103,C106,E92:E103)&#10;SUMIFS =SUMIFS(E92:E103,C92:C103,C106,D92:D103,D106)&#10;AVERAGEIF =AVERAGEIF(C92:C103,C106,E92:E103)&#10;AVERAGEIFS=AVERAGEIFS(E92:E103,C92:C103,C106,D92:D92,D106)&#10;COUNTIF =COUNTIF(C92:C103,C106)&#10;COUNTIFS =COUNTIFS(C92:C103,C106,D92:D103,D106)&#10;MAXIFS =MAXIFS(E92:E103,C92:C103,C10,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4"/>
            <a:ext cx="5257638" cy="855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你已了解 SUMIF、SUMIFS、COUNTIF 和 COUNTIFS。现在可自行尝试其他函数，例如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它们均以相同的方式构造，因此编写好一个公式以后，只需将函数名称替换为所需名称即可。我们已编写单元格 E106 所需的所有函数，因此你可复制/粘贴它们，或者自行尝试键入进行练习。</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	=SUMIF(C92:C103,C106,E92:E103)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	=SUMIFS(E92:E103,C92:C103,C106,D92:D103,D106)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	=AVERAGEIF(C92:C103,C106,E92:E103)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	=AVERAGEIFS(E92:E103,C92:C103,C106,D92:D92,D106)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	=COUNTIF(C92:C103,C106)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	=COUNTIFS(C92:C103,C106,D92:D103,D106)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	=MAXIFS(E92:E103,C92:C103,C10</a:t>
            </a:r>
            <a:r>
              <a:rPr lang="en-US" alt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6</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editAs="absolute">
    <xdr:from>
      <xdr:col>1</xdr:col>
      <xdr:colOff>3427461</xdr:colOff>
      <xdr:row>108</xdr:row>
      <xdr:rowOff>123825</xdr:rowOff>
    </xdr:from>
    <xdr:to>
      <xdr:col>1</xdr:col>
      <xdr:colOff>4702631</xdr:colOff>
      <xdr:row>110</xdr:row>
      <xdr:rowOff>21124</xdr:rowOff>
    </xdr:to>
    <xdr:sp macro="" textlink="">
      <xdr:nvSpPr>
        <xdr:cNvPr id="254" name="“下一步”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9817BA26-3F9D-4337-96B5-9647A836BC8B}"/>
            </a:ext>
          </a:extLst>
        </xdr:cNvPr>
        <xdr:cNvSpPr/>
      </xdr:nvSpPr>
      <xdr:spPr>
        <a:xfrm>
          <a:off x="4522836" y="22469475"/>
          <a:ext cx="1275170" cy="3163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0</xdr:col>
      <xdr:colOff>342900</xdr:colOff>
      <xdr:row>44</xdr:row>
      <xdr:rowOff>180976</xdr:rowOff>
    </xdr:from>
    <xdr:to>
      <xdr:col>1</xdr:col>
      <xdr:colOff>5248725</xdr:colOff>
      <xdr:row>86</xdr:row>
      <xdr:rowOff>19050</xdr:rowOff>
    </xdr:to>
    <xdr:sp macro="" textlink="">
      <xdr:nvSpPr>
        <xdr:cNvPr id="255" name="背景" descr="背景">
          <a:extLst>
            <a:ext uri="{FF2B5EF4-FFF2-40B4-BE49-F238E27FC236}">
              <a16:creationId xmlns:a16="http://schemas.microsoft.com/office/drawing/2014/main" id="{59826756-6574-4AD7-87F3-D5BE531411BB}"/>
            </a:ext>
          </a:extLst>
        </xdr:cNvPr>
        <xdr:cNvSpPr/>
      </xdr:nvSpPr>
      <xdr:spPr>
        <a:xfrm>
          <a:off x="342900" y="9305926"/>
          <a:ext cx="6001200" cy="86772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47</xdr:row>
      <xdr:rowOff>57150</xdr:rowOff>
    </xdr:from>
    <xdr:to>
      <xdr:col>1</xdr:col>
      <xdr:colOff>4700574</xdr:colOff>
      <xdr:row>47</xdr:row>
      <xdr:rowOff>57150</xdr:rowOff>
    </xdr:to>
    <xdr:cxnSp macro="">
      <xdr:nvCxnSpPr>
        <xdr:cNvPr id="256" name="底部线条" descr="装饰性线条">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44</xdr:row>
      <xdr:rowOff>142875</xdr:rowOff>
    </xdr:from>
    <xdr:to>
      <xdr:col>1</xdr:col>
      <xdr:colOff>4703770</xdr:colOff>
      <xdr:row>46</xdr:row>
      <xdr:rowOff>190567</xdr:rowOff>
    </xdr:to>
    <xdr:sp macro="" textlink="">
      <xdr:nvSpPr>
        <xdr:cNvPr id="257" name="步骤" descr="条件函数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COUNTIF</a:t>
          </a:r>
        </a:p>
      </xdr:txBody>
    </xdr:sp>
    <xdr:clientData/>
  </xdr:twoCellAnchor>
  <xdr:twoCellAnchor editAs="absolute">
    <xdr:from>
      <xdr:col>0</xdr:col>
      <xdr:colOff>547701</xdr:colOff>
      <xdr:row>81</xdr:row>
      <xdr:rowOff>68792</xdr:rowOff>
    </xdr:from>
    <xdr:to>
      <xdr:col>1</xdr:col>
      <xdr:colOff>4700574</xdr:colOff>
      <xdr:row>81</xdr:row>
      <xdr:rowOff>68792</xdr:rowOff>
    </xdr:to>
    <xdr:cxnSp macro="">
      <xdr:nvCxnSpPr>
        <xdr:cNvPr id="258" name="底部线条" descr="装饰性线条">
          <a:extLst>
            <a:ext uri="{FF2B5EF4-FFF2-40B4-BE49-F238E27FC236}">
              <a16:creationId xmlns:a16="http://schemas.microsoft.com/office/drawing/2014/main" id="{C9452A63-9B04-434E-9908-862D1547B71D}"/>
            </a:ext>
          </a:extLst>
        </xdr:cNvPr>
        <xdr:cNvCxnSpPr>
          <a:cxnSpLocks/>
        </xdr:cNvCxnSpPr>
      </xdr:nvCxnSpPr>
      <xdr:spPr>
        <a:xfrm>
          <a:off x="547701" y="169851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47</xdr:row>
      <xdr:rowOff>57149</xdr:rowOff>
    </xdr:from>
    <xdr:to>
      <xdr:col>1</xdr:col>
      <xdr:colOff>4767538</xdr:colOff>
      <xdr:row>50</xdr:row>
      <xdr:rowOff>142874</xdr:rowOff>
    </xdr:to>
    <xdr:sp macro="" textlink="">
      <xdr:nvSpPr>
        <xdr:cNvPr id="259" name="添加数字简介" descr="使用 COUNTIF 和 COUNTIFS，你可以根据指定的条件对某区域的值进行计数。它们与其他 IF 和 IFS 函数稍有不同，它们只有条件区域和条件。它们不对区域进行求值，然后查找另一个区域进行汇总。&#10;&#10;">
          <a:extLst>
            <a:ext uri="{FF2B5EF4-FFF2-40B4-BE49-F238E27FC236}">
              <a16:creationId xmlns:a16="http://schemas.microsoft.com/office/drawing/2014/main" id="{FD69C356-A3A0-4ACC-9509-4D5AB4574A46}"/>
            </a:ext>
          </a:extLst>
        </xdr:cNvPr>
        <xdr:cNvSpPr txBox="1"/>
      </xdr:nvSpPr>
      <xdr:spPr>
        <a:xfrm>
          <a:off x="561975" y="9810749"/>
          <a:ext cx="5300938"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 COUNTIF</a:t>
          </a:r>
          <a:r>
            <a:rPr lang="zh-cn" sz="110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和</a:t>
          </a:r>
          <a:r>
            <a:rPr lang="zh-cn" sz="110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，你可以根据指定的条件对某区域的值进行计数。它们与其他 IF 和 IFS 函数</a:t>
          </a:r>
          <a:r>
            <a:rPr lang="zh-cn" sz="1100" kern="120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稍有不同</a:t>
          </a:r>
          <a:r>
            <a:rPr lang="zh-cn" sz="1100" kern="1200" baseline="0">
              <a:solidFill>
                <a:schemeClr val="dk1"/>
              </a:solidFill>
              <a:latin typeface="Microsoft YaHei UI" panose="020B0503020204020204" pitchFamily="34" charset="-122"/>
              <a:ea typeface="Microsoft YaHei UI" panose="020B0503020204020204" pitchFamily="34" charset="-122"/>
              <a:cs typeface="Segoe UI" panose="020B0502040204020203" pitchFamily="34" charset="0"/>
            </a:rPr>
            <a:t>，它们只有条件区域和条件。它们不对区域进行求值，然后查找另一个区域进行汇总。</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571500</xdr:colOff>
      <xdr:row>51</xdr:row>
      <xdr:rowOff>57150</xdr:rowOff>
    </xdr:from>
    <xdr:to>
      <xdr:col>1</xdr:col>
      <xdr:colOff>4696226</xdr:colOff>
      <xdr:row>53</xdr:row>
      <xdr:rowOff>205682</xdr:rowOff>
    </xdr:to>
    <xdr:grpSp>
      <xdr:nvGrpSpPr>
        <xdr:cNvPr id="7" name="组 6">
          <a:extLst>
            <a:ext uri="{FF2B5EF4-FFF2-40B4-BE49-F238E27FC236}">
              <a16:creationId xmlns:a16="http://schemas.microsoft.com/office/drawing/2014/main" id="{C3BD1A07-2431-425E-86AC-0511A2AC3600}"/>
            </a:ext>
          </a:extLst>
        </xdr:cNvPr>
        <xdr:cNvGrpSpPr/>
      </xdr:nvGrpSpPr>
      <xdr:grpSpPr>
        <a:xfrm>
          <a:off x="571500" y="10648950"/>
          <a:ext cx="5220101" cy="567632"/>
          <a:chOff x="609600" y="10820400"/>
          <a:chExt cx="5220101" cy="596207"/>
        </a:xfrm>
      </xdr:grpSpPr>
      <xdr:sp macro="" textlink="">
        <xdr:nvSpPr>
          <xdr:cNvPr id="261" name="文本_步骤" descr="选择单元格 D64 并键入 =COUNTIF(C50:C61,C64)。COUNTIF 的结构如下所示：&#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D64 并键入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=COUNTIF(C50:C61,C64)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262" name="形状_步骤"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3305175</xdr:colOff>
      <xdr:row>82</xdr:row>
      <xdr:rowOff>116416</xdr:rowOff>
    </xdr:from>
    <xdr:to>
      <xdr:col>1</xdr:col>
      <xdr:colOff>4630354</xdr:colOff>
      <xdr:row>84</xdr:row>
      <xdr:rowOff>26340</xdr:rowOff>
    </xdr:to>
    <xdr:sp macro="" textlink="">
      <xdr:nvSpPr>
        <xdr:cNvPr id="263" name="“下一步”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D6D142FA-1F43-4673-883C-435BE4A5BB46}"/>
            </a:ext>
          </a:extLst>
        </xdr:cNvPr>
        <xdr:cNvSpPr/>
      </xdr:nvSpPr>
      <xdr:spPr>
        <a:xfrm>
          <a:off x="4400550" y="17242366"/>
          <a:ext cx="1325179" cy="3290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editAs="absolute">
    <xdr:from>
      <xdr:col>0</xdr:col>
      <xdr:colOff>571500</xdr:colOff>
      <xdr:row>64</xdr:row>
      <xdr:rowOff>209550</xdr:rowOff>
    </xdr:from>
    <xdr:to>
      <xdr:col>1</xdr:col>
      <xdr:colOff>4696226</xdr:colOff>
      <xdr:row>67</xdr:row>
      <xdr:rowOff>139007</xdr:rowOff>
    </xdr:to>
    <xdr:grpSp>
      <xdr:nvGrpSpPr>
        <xdr:cNvPr id="6" name="组 5">
          <a:extLst>
            <a:ext uri="{FF2B5EF4-FFF2-40B4-BE49-F238E27FC236}">
              <a16:creationId xmlns:a16="http://schemas.microsoft.com/office/drawing/2014/main" id="{0DA1DA82-7F55-47D3-8AE9-D782CB1AADE4}"/>
            </a:ext>
          </a:extLst>
        </xdr:cNvPr>
        <xdr:cNvGrpSpPr/>
      </xdr:nvGrpSpPr>
      <xdr:grpSpPr>
        <a:xfrm>
          <a:off x="571500" y="13554075"/>
          <a:ext cx="5220101" cy="567632"/>
          <a:chOff x="609600" y="13230225"/>
          <a:chExt cx="5220101" cy="596207"/>
        </a:xfrm>
      </xdr:grpSpPr>
      <xdr:sp macro="" textlink="">
        <xdr:nvSpPr>
          <xdr:cNvPr id="265" name="文本_步骤" descr="COUNTIFS 与 SUMIF 相同，但它允许你使用多个条件。因此在此示例中，可查找水果和类型，而不仅仅是按水果排序。选择单元格 H17 并键入 =COUNTIFS(F50:F61,F64,G50:G61,G64)。COUNTIFS 的结构如下所示：&#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=COUNTIFS(F50:F61,F64,G50:G61,G64)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66" name="形状_步骤"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1</xdr:col>
      <xdr:colOff>190500</xdr:colOff>
      <xdr:row>54</xdr:row>
      <xdr:rowOff>38099</xdr:rowOff>
    </xdr:from>
    <xdr:to>
      <xdr:col>1</xdr:col>
      <xdr:colOff>4162425</xdr:colOff>
      <xdr:row>64</xdr:row>
      <xdr:rowOff>19048</xdr:rowOff>
    </xdr:to>
    <xdr:grpSp>
      <xdr:nvGrpSpPr>
        <xdr:cNvPr id="267" name="组 266">
          <a:extLst>
            <a:ext uri="{FF2B5EF4-FFF2-40B4-BE49-F238E27FC236}">
              <a16:creationId xmlns:a16="http://schemas.microsoft.com/office/drawing/2014/main" id="{E8932D15-E179-42A0-91A2-EDDEA215314C}"/>
            </a:ext>
          </a:extLst>
        </xdr:cNvPr>
        <xdr:cNvGrpSpPr/>
      </xdr:nvGrpSpPr>
      <xdr:grpSpPr>
        <a:xfrm>
          <a:off x="1285875" y="11258549"/>
          <a:ext cx="3971925" cy="2105024"/>
          <a:chOff x="3048000" y="4524375"/>
          <a:chExt cx="3971925" cy="1881482"/>
        </a:xfrm>
      </xdr:grpSpPr>
      <xdr:sp macro="" textlink="">
        <xdr:nvSpPr>
          <xdr:cNvPr id="268" name="文本_公式"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=COUNTIF(C50:C61,C64)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69" name="组 268">
            <a:extLst>
              <a:ext uri="{FF2B5EF4-FFF2-40B4-BE49-F238E27FC236}">
                <a16:creationId xmlns:a16="http://schemas.microsoft.com/office/drawing/2014/main" id="{37527305-6134-452A-8E72-EC503505A6ED}"/>
              </a:ext>
            </a:extLst>
          </xdr:cNvPr>
          <xdr:cNvGrpSpPr/>
        </xdr:nvGrpSpPr>
        <xdr:grpSpPr>
          <a:xfrm>
            <a:off x="4276725" y="4524375"/>
            <a:ext cx="1352550" cy="861227"/>
            <a:chOff x="4276725" y="4524375"/>
            <a:chExt cx="1352550" cy="861227"/>
          </a:xfrm>
        </xdr:grpSpPr>
        <xdr:sp macro="" textlink="">
          <xdr:nvSpPr>
            <xdr:cNvPr id="273" name="公式下括号">
              <a:extLst>
                <a:ext uri="{FF2B5EF4-FFF2-40B4-BE49-F238E27FC236}">
                  <a16:creationId xmlns:a16="http://schemas.microsoft.com/office/drawing/2014/main" id="{36B585B0-0CA8-40C9-B8A4-354751F708F4}"/>
                </a:ext>
              </a:extLst>
            </xdr:cNvPr>
            <xdr:cNvSpPr/>
          </xdr:nvSpPr>
          <xdr:spPr>
            <a:xfrm rot="5400000">
              <a:off x="4703361"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4" name="文本_公式下部标注" descr="想查看哪个区域？&#10;">
              <a:extLst>
                <a:ext uri="{FF2B5EF4-FFF2-40B4-BE49-F238E27FC236}">
                  <a16:creationId xmlns:a16="http://schemas.microsoft.com/office/drawing/2014/main" id="{34D80480-D101-45AC-B9CF-78D23DC421E6}"/>
                </a:ext>
              </a:extLst>
            </xdr:cNvPr>
            <xdr:cNvSpPr txBox="1">
              <a:spLocks noChangeArrowheads="1"/>
            </xdr:cNvSpPr>
          </xdr:nvSpPr>
          <xdr:spPr bwMode="auto">
            <a:xfrm>
              <a:off x="427672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70" name="组 269">
            <a:extLst>
              <a:ext uri="{FF2B5EF4-FFF2-40B4-BE49-F238E27FC236}">
                <a16:creationId xmlns:a16="http://schemas.microsoft.com/office/drawing/2014/main" id="{2CCDD87F-488A-4F59-94B0-9890040AE4A5}"/>
              </a:ext>
            </a:extLst>
          </xdr:cNvPr>
          <xdr:cNvGrpSpPr/>
        </xdr:nvGrpSpPr>
        <xdr:grpSpPr>
          <a:xfrm>
            <a:off x="4981575" y="5567655"/>
            <a:ext cx="1838325" cy="838202"/>
            <a:chOff x="4981575" y="5567655"/>
            <a:chExt cx="1838325" cy="838202"/>
          </a:xfrm>
        </xdr:grpSpPr>
        <xdr:sp macro="" textlink="">
          <xdr:nvSpPr>
            <xdr:cNvPr id="271" name="公式上括号">
              <a:extLst>
                <a:ext uri="{FF2B5EF4-FFF2-40B4-BE49-F238E27FC236}">
                  <a16:creationId xmlns:a16="http://schemas.microsoft.com/office/drawing/2014/main" id="{A61DA540-4BFA-41A7-A504-CCFAB774EC94}"/>
                </a:ext>
              </a:extLst>
            </xdr:cNvPr>
            <xdr:cNvSpPr/>
          </xdr:nvSpPr>
          <xdr:spPr>
            <a:xfrm rot="16200000">
              <a:off x="5646338" y="5569645"/>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2" name="文本_公式上部标注" descr="想查找什么值（文本还是数字）？&#10;">
              <a:extLst>
                <a:ext uri="{FF2B5EF4-FFF2-40B4-BE49-F238E27FC236}">
                  <a16:creationId xmlns:a16="http://schemas.microsoft.com/office/drawing/2014/main" id="{73BBFD57-E525-4CF9-A6E9-242691515557}"/>
                </a:ext>
              </a:extLst>
            </xdr:cNvPr>
            <xdr:cNvSpPr txBox="1">
              <a:spLocks noChangeArrowheads="1"/>
            </xdr:cNvSpPr>
          </xdr:nvSpPr>
          <xdr:spPr bwMode="auto">
            <a:xfrm>
              <a:off x="4981575" y="5920082"/>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619125</xdr:colOff>
      <xdr:row>70</xdr:row>
      <xdr:rowOff>38079</xdr:rowOff>
    </xdr:from>
    <xdr:to>
      <xdr:col>1</xdr:col>
      <xdr:colOff>5064952</xdr:colOff>
      <xdr:row>80</xdr:row>
      <xdr:rowOff>78264</xdr:rowOff>
    </xdr:to>
    <xdr:grpSp>
      <xdr:nvGrpSpPr>
        <xdr:cNvPr id="275" name="组 274">
          <a:extLst>
            <a:ext uri="{FF2B5EF4-FFF2-40B4-BE49-F238E27FC236}">
              <a16:creationId xmlns:a16="http://schemas.microsoft.com/office/drawing/2014/main" id="{847274C0-AC26-4344-B2CE-53D60DDD0425}"/>
            </a:ext>
          </a:extLst>
        </xdr:cNvPr>
        <xdr:cNvGrpSpPr/>
      </xdr:nvGrpSpPr>
      <xdr:grpSpPr>
        <a:xfrm>
          <a:off x="619125" y="14649429"/>
          <a:ext cx="5541202" cy="2135685"/>
          <a:chOff x="638175" y="14144607"/>
          <a:chExt cx="5267326" cy="1973035"/>
        </a:xfrm>
      </xdr:grpSpPr>
      <xdr:sp macro="" textlink="">
        <xdr:nvSpPr>
          <xdr:cNvPr id="276" name="公式上括号">
            <a:extLst>
              <a:ext uri="{FF2B5EF4-FFF2-40B4-BE49-F238E27FC236}">
                <a16:creationId xmlns:a16="http://schemas.microsoft.com/office/drawing/2014/main" id="{97A01290-7C21-4B89-985F-9ACD27071CF1}"/>
              </a:ext>
            </a:extLst>
          </xdr:cNvPr>
          <xdr:cNvSpPr/>
        </xdr:nvSpPr>
        <xdr:spPr>
          <a:xfrm rot="16200000">
            <a:off x="5020984" y="15236451"/>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7" name="公式上括号">
            <a:extLst>
              <a:ext uri="{FF2B5EF4-FFF2-40B4-BE49-F238E27FC236}">
                <a16:creationId xmlns:a16="http://schemas.microsoft.com/office/drawing/2014/main" id="{FBA8E8F9-1C1F-46A9-819E-ED4261288C76}"/>
              </a:ext>
            </a:extLst>
          </xdr:cNvPr>
          <xdr:cNvSpPr/>
        </xdr:nvSpPr>
        <xdr:spPr>
          <a:xfrm rot="16200000">
            <a:off x="3328913" y="15268663"/>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8" name="公式下括号">
            <a:extLst>
              <a:ext uri="{FF2B5EF4-FFF2-40B4-BE49-F238E27FC236}">
                <a16:creationId xmlns:a16="http://schemas.microsoft.com/office/drawing/2014/main" id="{44603805-5C4E-4370-B762-A5B53406A8B3}"/>
              </a:ext>
            </a:extLst>
          </xdr:cNvPr>
          <xdr:cNvSpPr/>
        </xdr:nvSpPr>
        <xdr:spPr>
          <a:xfrm rot="5400000">
            <a:off x="4239257"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9" name="公式下括号">
            <a:extLst>
              <a:ext uri="{FF2B5EF4-FFF2-40B4-BE49-F238E27FC236}">
                <a16:creationId xmlns:a16="http://schemas.microsoft.com/office/drawing/2014/main" id="{02E6B0A4-8693-43A2-A27C-ECA0F01F93E4}"/>
              </a:ext>
            </a:extLst>
          </xdr:cNvPr>
          <xdr:cNvSpPr/>
        </xdr:nvSpPr>
        <xdr:spPr>
          <a:xfrm rot="5400000">
            <a:off x="2413320"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80" name="文本_公式" descr="=COUNTIFS(F50:F61,F64,G50:G61,G64)&#10;">
            <a:extLst>
              <a:ext uri="{FF2B5EF4-FFF2-40B4-BE49-F238E27FC236}">
                <a16:creationId xmlns:a16="http://schemas.microsoft.com/office/drawing/2014/main" id="{9B024B79-A0D7-4146-8614-608EC9FDD326}"/>
              </a:ext>
            </a:extLst>
          </xdr:cNvPr>
          <xdr:cNvSpPr txBox="1"/>
        </xdr:nvSpPr>
        <xdr:spPr>
          <a:xfrm>
            <a:off x="638175" y="14982176"/>
            <a:ext cx="5267326" cy="411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=COUNTIFS(F50:F61,F64,G50:G61,G64)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81" name="文本_公式下部标注" descr="这是进行计数的第一个范围&#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0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这是进行计数的第一个范围</a:t>
            </a:r>
          </a:p>
        </xdr:txBody>
      </xdr:sp>
      <xdr:sp macro="" textlink="">
        <xdr:nvSpPr>
          <xdr:cNvPr id="282" name="文本_公式下部标注" descr="这是进行计数的第二个范围&#10;">
            <a:extLst>
              <a:ext uri="{FF2B5EF4-FFF2-40B4-BE49-F238E27FC236}">
                <a16:creationId xmlns:a16="http://schemas.microsoft.com/office/drawing/2014/main" id="{11EE695F-0D8C-4F27-9607-875A146520A9}"/>
              </a:ext>
            </a:extLst>
          </xdr:cNvPr>
          <xdr:cNvSpPr txBox="1">
            <a:spLocks noChangeArrowheads="1"/>
          </xdr:cNvSpPr>
        </xdr:nvSpPr>
        <xdr:spPr bwMode="auto">
          <a:xfrm>
            <a:off x="3877656"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这是进行计数的第二个范围</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3" name="文本_公式上部标注" descr="这是第一个匹配项的条件&#10;&#10;">
            <a:extLst>
              <a:ext uri="{FF2B5EF4-FFF2-40B4-BE49-F238E27FC236}">
                <a16:creationId xmlns:a16="http://schemas.microsoft.com/office/drawing/2014/main" id="{CA955A6F-F900-4254-A38C-2B84B32EF341}"/>
              </a:ext>
            </a:extLst>
          </xdr:cNvPr>
          <xdr:cNvSpPr txBox="1">
            <a:spLocks noChangeArrowheads="1"/>
          </xdr:cNvSpPr>
        </xdr:nvSpPr>
        <xdr:spPr bwMode="auto">
          <a:xfrm>
            <a:off x="2969014"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这是第一个匹配项的条件</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4" name="文本_公式上部标注" descr="这是第二个匹配项的条件&#10;">
            <a:extLst>
              <a:ext uri="{FF2B5EF4-FFF2-40B4-BE49-F238E27FC236}">
                <a16:creationId xmlns:a16="http://schemas.microsoft.com/office/drawing/2014/main" id="{838EB08C-21C3-4C95-9A03-F7C12DFF31CD}"/>
              </a:ext>
            </a:extLst>
          </xdr:cNvPr>
          <xdr:cNvSpPr txBox="1">
            <a:spLocks noChangeArrowheads="1"/>
          </xdr:cNvSpPr>
        </xdr:nvSpPr>
        <xdr:spPr bwMode="auto">
          <a:xfrm>
            <a:off x="4704601" y="15623868"/>
            <a:ext cx="113069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0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第二个匹配项的条件</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571500</xdr:colOff>
      <xdr:row>82</xdr:row>
      <xdr:rowOff>104775</xdr:rowOff>
    </xdr:from>
    <xdr:to>
      <xdr:col>1</xdr:col>
      <xdr:colOff>2446842</xdr:colOff>
      <xdr:row>85</xdr:row>
      <xdr:rowOff>45149</xdr:rowOff>
    </xdr:to>
    <xdr:sp macro="" textlink="">
      <xdr:nvSpPr>
        <xdr:cNvPr id="285" name="详细信息按钮" descr="向下滚动查看更多详细信息">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7230725"/>
          <a:ext cx="2723067" cy="5690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619125</xdr:colOff>
      <xdr:row>108</xdr:row>
      <xdr:rowOff>66675</xdr:rowOff>
    </xdr:from>
    <xdr:to>
      <xdr:col>1</xdr:col>
      <xdr:colOff>2494467</xdr:colOff>
      <xdr:row>111</xdr:row>
      <xdr:rowOff>26099</xdr:rowOff>
    </xdr:to>
    <xdr:sp macro="" textlink="">
      <xdr:nvSpPr>
        <xdr:cNvPr id="131" name="详细信息按钮" descr="向下滚动查看更多详细信息">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12502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209549</xdr:colOff>
      <xdr:row>9</xdr:row>
      <xdr:rowOff>180975</xdr:rowOff>
    </xdr:from>
    <xdr:to>
      <xdr:col>5</xdr:col>
      <xdr:colOff>133348</xdr:colOff>
      <xdr:row>17</xdr:row>
      <xdr:rowOff>192628</xdr:rowOff>
    </xdr:to>
    <xdr:grpSp>
      <xdr:nvGrpSpPr>
        <xdr:cNvPr id="76" name="看看这个" descr="看看这个&#10;&#10;">
          <a:extLst>
            <a:ext uri="{FF2B5EF4-FFF2-40B4-BE49-F238E27FC236}">
              <a16:creationId xmlns:a16="http://schemas.microsoft.com/office/drawing/2014/main" id="{16122225-CAAD-44E9-BB30-7B1C9C3D2195}"/>
            </a:ext>
          </a:extLst>
        </xdr:cNvPr>
        <xdr:cNvGrpSpPr/>
      </xdr:nvGrpSpPr>
      <xdr:grpSpPr>
        <a:xfrm>
          <a:off x="6972299" y="2505075"/>
          <a:ext cx="2952749" cy="1716628"/>
          <a:chOff x="7830674" y="7686975"/>
          <a:chExt cx="2952605" cy="1716628"/>
        </a:xfrm>
      </xdr:grpSpPr>
      <xdr:grpSp>
        <xdr:nvGrpSpPr>
          <xdr:cNvPr id="77" name="括号线">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另一条括号线" descr="括号线">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81" name="括号线" descr="括号线&#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78" name="星星" descr="星星">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说明" descr="看看这个&#10;最终应为 =VLOOKUP(C10,C5:D8,2,FALSE)。&#10;">
            <a:extLst>
              <a:ext uri="{FF2B5EF4-FFF2-40B4-BE49-F238E27FC236}">
                <a16:creationId xmlns:a16="http://schemas.microsoft.com/office/drawing/2014/main" id="{CD6BEA80-3565-4CB2-961F-64F55693307F}"/>
              </a:ext>
            </a:extLst>
          </xdr:cNvPr>
          <xdr:cNvSpPr txBox="1"/>
        </xdr:nvSpPr>
        <xdr:spPr>
          <a:xfrm>
            <a:off x="8132529" y="7993902"/>
            <a:ext cx="2650750"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最终应为 </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=VLOOKUP(C10,C5:D8,2,FALSE)。</a:t>
            </a:r>
            <a:endParaRPr 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47</xdr:row>
      <xdr:rowOff>76200</xdr:rowOff>
    </xdr:to>
    <xdr:grpSp>
      <xdr:nvGrpSpPr>
        <xdr:cNvPr id="82" name="组 81">
          <a:extLst>
            <a:ext uri="{FF2B5EF4-FFF2-40B4-BE49-F238E27FC236}">
              <a16:creationId xmlns:a16="http://schemas.microsoft.com/office/drawing/2014/main" id="{1015345F-A070-4EDE-8224-DC487667438E}"/>
            </a:ext>
          </a:extLst>
        </xdr:cNvPr>
        <xdr:cNvGrpSpPr/>
      </xdr:nvGrpSpPr>
      <xdr:grpSpPr>
        <a:xfrm>
          <a:off x="352425" y="7753350"/>
          <a:ext cx="5990463" cy="2638425"/>
          <a:chOff x="352425" y="10715625"/>
          <a:chExt cx="5733288" cy="2390775"/>
        </a:xfrm>
      </xdr:grpSpPr>
      <xdr:sp macro="" textlink="">
        <xdr:nvSpPr>
          <xdr:cNvPr id="83" name="矩形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4" name="步骤" descr="访问网页获取详细信息&#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5" name="直接连接符​​ 84" descr="装饰性线条">
            <a:extLst>
              <a:ext uri="{FF2B5EF4-FFF2-40B4-BE49-F238E27FC236}">
                <a16:creationId xmlns:a16="http://schemas.microsoft.com/office/drawing/2014/main" id="{123ED04E-B6E8-457B-8D55-39D8FD68B6AD}"/>
              </a:ext>
            </a:extLst>
          </xdr:cNvPr>
          <xdr:cNvCxnSpPr>
            <a:cxnSpLocks/>
          </xdr:cNvCxnSpPr>
        </xdr:nvCxnSpPr>
        <xdr:spPr>
          <a:xfrm>
            <a:off x="563457" y="11240505"/>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接连接符​​ 85" descr="装饰性线条">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38</xdr:row>
      <xdr:rowOff>7069</xdr:rowOff>
    </xdr:from>
    <xdr:to>
      <xdr:col>1</xdr:col>
      <xdr:colOff>2562225</xdr:colOff>
      <xdr:row>39</xdr:row>
      <xdr:rowOff>194698</xdr:rowOff>
    </xdr:to>
    <xdr:grpSp>
      <xdr:nvGrpSpPr>
        <xdr:cNvPr id="5" name="组 4">
          <a:extLst>
            <a:ext uri="{FF2B5EF4-FFF2-40B4-BE49-F238E27FC236}">
              <a16:creationId xmlns:a16="http://schemas.microsoft.com/office/drawing/2014/main" id="{82632918-520D-4E51-9E28-E3DEB82D9A91}"/>
            </a:ext>
          </a:extLst>
        </xdr:cNvPr>
        <xdr:cNvGrpSpPr/>
      </xdr:nvGrpSpPr>
      <xdr:grpSpPr>
        <a:xfrm>
          <a:off x="562406" y="8436694"/>
          <a:ext cx="3123769" cy="397179"/>
          <a:chOff x="562406" y="11008444"/>
          <a:chExt cx="2866594" cy="359079"/>
        </a:xfrm>
      </xdr:grpSpPr>
      <xdr:sp macro="" textlink="">
        <xdr:nvSpPr>
          <xdr:cNvPr id="87" name="步骤" descr="有关 IF 函数的全部内容，超链接到网页&#10;&#10;">
            <a:hlinkClick xmlns:r="http://schemas.openxmlformats.org/officeDocument/2006/relationships" r:id="rId3" tooltip="选择此处，从网页上了解有关 Excel 公式的全部内容"/>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概述</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3" tooltip="选择此处，从网页上了解详细信息"/>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40</xdr:row>
      <xdr:rowOff>1135</xdr:rowOff>
    </xdr:from>
    <xdr:to>
      <xdr:col>1</xdr:col>
      <xdr:colOff>2590800</xdr:colOff>
      <xdr:row>41</xdr:row>
      <xdr:rowOff>194074</xdr:rowOff>
    </xdr:to>
    <xdr:grpSp>
      <xdr:nvGrpSpPr>
        <xdr:cNvPr id="4" name="组 3">
          <a:extLst>
            <a:ext uri="{FF2B5EF4-FFF2-40B4-BE49-F238E27FC236}">
              <a16:creationId xmlns:a16="http://schemas.microsoft.com/office/drawing/2014/main" id="{98FAF5DD-EE61-45C8-981A-2D0D0E97F1D8}"/>
            </a:ext>
          </a:extLst>
        </xdr:cNvPr>
        <xdr:cNvGrpSpPr/>
      </xdr:nvGrpSpPr>
      <xdr:grpSpPr>
        <a:xfrm>
          <a:off x="562406" y="8849860"/>
          <a:ext cx="3152344" cy="402489"/>
          <a:chOff x="562406" y="11383510"/>
          <a:chExt cx="2895169" cy="364389"/>
        </a:xfrm>
      </xdr:grpSpPr>
      <xdr:sp macro="" textlink="">
        <xdr:nvSpPr>
          <xdr:cNvPr id="89" name="步骤" descr="有关 IFS 函数的全部内容，超链接到网页&#10;">
            <a:hlinkClick xmlns:r="http://schemas.openxmlformats.org/officeDocument/2006/relationships" r:id="rId6" tooltip="选择此处，从网页上按类别查看所有 Excel 函数"/>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类别</a:t>
            </a:r>
            <a:r>
              <a:rPr lang="zh-CN" altLang="en-US"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0" name="图形 22" descr="箭头">
            <a:hlinkClick xmlns:r="http://schemas.openxmlformats.org/officeDocument/2006/relationships" r:id="rId6" tooltip="选择此处，从网页上了解详细信息"/>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44</xdr:row>
      <xdr:rowOff>32053</xdr:rowOff>
    </xdr:from>
    <xdr:to>
      <xdr:col>1</xdr:col>
      <xdr:colOff>2212267</xdr:colOff>
      <xdr:row>46</xdr:row>
      <xdr:rowOff>15442</xdr:rowOff>
    </xdr:to>
    <xdr:grpSp>
      <xdr:nvGrpSpPr>
        <xdr:cNvPr id="2" name="组 1">
          <a:extLst>
            <a:ext uri="{FF2B5EF4-FFF2-40B4-BE49-F238E27FC236}">
              <a16:creationId xmlns:a16="http://schemas.microsoft.com/office/drawing/2014/main" id="{2F82E782-5C9A-405F-90E2-13AE28FFFCBD}"/>
            </a:ext>
          </a:extLst>
        </xdr:cNvPr>
        <xdr:cNvGrpSpPr/>
      </xdr:nvGrpSpPr>
      <xdr:grpSpPr>
        <a:xfrm>
          <a:off x="562406" y="9718978"/>
          <a:ext cx="2773811" cy="402489"/>
          <a:chOff x="562406" y="12176428"/>
          <a:chExt cx="2516636" cy="364389"/>
        </a:xfrm>
      </xdr:grpSpPr>
      <xdr:sp macro="" textlink="">
        <xdr:nvSpPr>
          <xdr:cNvPr id="91" name="步骤" descr="免费 Excel 在线培训，超链接到网页&#10;">
            <a:hlinkClick xmlns:r="http://schemas.openxmlformats.org/officeDocument/2006/relationships" r:id="rId7" tooltip="选择此处，从网页上了解免费 Excel 培训"/>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92" name="图形 22" descr="箭头">
            <a:hlinkClick xmlns:r="http://schemas.openxmlformats.org/officeDocument/2006/relationships" r:id="rId7" tooltip="选择此处，从网页上了解详细信息"/>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42</xdr:row>
      <xdr:rowOff>511</xdr:rowOff>
    </xdr:from>
    <xdr:to>
      <xdr:col>1</xdr:col>
      <xdr:colOff>2590800</xdr:colOff>
      <xdr:row>43</xdr:row>
      <xdr:rowOff>193450</xdr:rowOff>
    </xdr:to>
    <xdr:grpSp>
      <xdr:nvGrpSpPr>
        <xdr:cNvPr id="3" name="组 2">
          <a:extLst>
            <a:ext uri="{FF2B5EF4-FFF2-40B4-BE49-F238E27FC236}">
              <a16:creationId xmlns:a16="http://schemas.microsoft.com/office/drawing/2014/main" id="{F4AC7FE3-2FB4-4A3F-8F6D-E41D0BF24478}"/>
            </a:ext>
          </a:extLst>
        </xdr:cNvPr>
        <xdr:cNvGrpSpPr/>
      </xdr:nvGrpSpPr>
      <xdr:grpSpPr>
        <a:xfrm>
          <a:off x="562406" y="9268336"/>
          <a:ext cx="3152344" cy="402489"/>
          <a:chOff x="562406" y="11763886"/>
          <a:chExt cx="2895169" cy="364389"/>
        </a:xfrm>
      </xdr:grpSpPr>
      <xdr:sp macro="" textlink="">
        <xdr:nvSpPr>
          <xdr:cNvPr id="93" name="步骤" descr="高级 IF 语句，超链接到网页&#10;">
            <a:hlinkClick xmlns:r="http://schemas.openxmlformats.org/officeDocument/2006/relationships" r:id="rId8" tooltip="选择此处，从网页上查看所有 Excel 函数（按字母顺序）"/>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p>
        </xdr:txBody>
      </xdr:sp>
      <xdr:pic>
        <xdr:nvPicPr>
          <xdr:cNvPr id="94" name="图形 22" descr="箭头">
            <a:hlinkClick xmlns:r="http://schemas.openxmlformats.org/officeDocument/2006/relationships" r:id="rId8" tooltip="选择此处，从网页上了解详细信息"/>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文本_教程背景" descr="背景">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文本_教程标题" descr="让函数向导指导你">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让函数向导指导你</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文本_教程线条 1" descr="装饰性线条">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文本_教程线条 2" descr="装饰性线条">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文本_教程简介" descr="如果知道所需函数的名称，但不确定如何构建它，可以使用函数向导帮你解决。">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如果知道所需函数的名称，但不确定如何构建它，可以使用函数向导帮你解决。</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576262</xdr:colOff>
      <xdr:row>5</xdr:row>
      <xdr:rowOff>57143</xdr:rowOff>
    </xdr:from>
    <xdr:to>
      <xdr:col>1</xdr:col>
      <xdr:colOff>5105399</xdr:colOff>
      <xdr:row>9</xdr:row>
      <xdr:rowOff>152405</xdr:rowOff>
    </xdr:to>
    <xdr:grpSp>
      <xdr:nvGrpSpPr>
        <xdr:cNvPr id="67" name="组_步骤">
          <a:extLst>
            <a:ext uri="{FF2B5EF4-FFF2-40B4-BE49-F238E27FC236}">
              <a16:creationId xmlns:a16="http://schemas.microsoft.com/office/drawing/2014/main" id="{BD77C92C-5C36-46AE-A637-B10B8A476780}"/>
            </a:ext>
          </a:extLst>
        </xdr:cNvPr>
        <xdr:cNvGrpSpPr/>
      </xdr:nvGrpSpPr>
      <xdr:grpSpPr>
        <a:xfrm>
          <a:off x="576262" y="1600193"/>
          <a:ext cx="5653087" cy="876312"/>
          <a:chOff x="647700" y="7419975"/>
          <a:chExt cx="5491034" cy="812673"/>
        </a:xfrm>
      </xdr:grpSpPr>
      <xdr:sp macro="" textlink="">
        <xdr:nvSpPr>
          <xdr:cNvPr id="68" name="文本_步骤" descr="选择单元格 D16，然后转至“公式”&gt;“插入函数”&gt;在搜索函数框中键入 VLOOKUP，然后按“转到”。看到 VLOOKUP 突出显示时，在底部单击“确定”。选择列表中的函数时，Excel 将显示其语法。&#10;">
            <a:extLst>
              <a:ext uri="{FF2B5EF4-FFF2-40B4-BE49-F238E27FC236}">
                <a16:creationId xmlns:a16="http://schemas.microsoft.com/office/drawing/2014/main" id="{0532D680-62D3-49C1-A9FC-9F775854E3A9}"/>
              </a:ext>
            </a:extLst>
          </xdr:cNvPr>
          <xdr:cNvSpPr txBox="1"/>
        </xdr:nvSpPr>
        <xdr:spPr>
          <a:xfrm>
            <a:off x="1079356" y="7459922"/>
            <a:ext cx="5059378" cy="772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选择单元格 D1</a:t>
            </a:r>
            <a:r>
              <a:rPr lang="en-US" alt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0</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，然后转至“</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公式</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”&gt;“</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插入函数</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a:t>
            </a:r>
            <a:r>
              <a:rPr lang="zh-cn" sz="1200" b="0" i="0" u="none" strike="noStrike" kern="1200" baseline="0">
                <a:solidFill>
                  <a:schemeClr val="dk1"/>
                </a:solidFill>
                <a:effectLst/>
                <a:latin typeface="Microsoft YaHei UI" panose="020B0503020204020204" pitchFamily="34" charset="-122"/>
                <a:ea typeface="Microsoft YaHei UI" panose="020B0503020204020204" pitchFamily="34" charset="-122"/>
                <a:cs typeface="+mn-cs"/>
              </a:rPr>
              <a:t>&gt;在</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搜索函数框中键入 </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VLOOKUP</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，然后按“</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转到</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”。看到 </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VLOOKUP</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 突出显示时，在底部单击“</a:t>
            </a:r>
            <a:r>
              <a:rPr lang="zh-cn" sz="1200" b="1" i="0" u="none" strike="noStrike" kern="1200">
                <a:solidFill>
                  <a:schemeClr val="dk1"/>
                </a:solidFill>
                <a:effectLst/>
                <a:latin typeface="Microsoft YaHei UI" panose="020B0503020204020204" pitchFamily="34" charset="-122"/>
                <a:ea typeface="Microsoft YaHei UI" panose="020B0503020204020204" pitchFamily="34" charset="-122"/>
                <a:cs typeface="+mn-cs"/>
              </a:rPr>
              <a:t>确定</a:t>
            </a:r>
            <a:r>
              <a:rPr lang="zh-cn" sz="1200" b="0" i="0" u="none" strike="noStrike" kern="1200">
                <a:solidFill>
                  <a:schemeClr val="dk1"/>
                </a:solidFill>
                <a:effectLst/>
                <a:latin typeface="Microsoft YaHei UI" panose="020B0503020204020204" pitchFamily="34" charset="-122"/>
                <a:ea typeface="Microsoft YaHei UI" panose="020B0503020204020204" pitchFamily="34" charset="-122"/>
                <a:cs typeface="+mn-cs"/>
              </a:rPr>
              <a:t>”。</a:t>
            </a:r>
            <a:r>
              <a:rPr lang="zh-cn" sz="1200">
                <a:latin typeface="Microsoft YaHei UI" panose="020B0503020204020204" pitchFamily="34" charset="-122"/>
                <a:ea typeface="Microsoft YaHei UI" panose="020B0503020204020204" pitchFamily="34" charset="-122"/>
              </a:rPr>
              <a:t>如果选择</a:t>
            </a:r>
            <a:r>
              <a:rPr lang="zh-cn" sz="1200" baseline="0">
                <a:latin typeface="Microsoft YaHei UI" panose="020B0503020204020204" pitchFamily="34" charset="-122"/>
                <a:ea typeface="Microsoft YaHei UI" panose="020B0503020204020204" pitchFamily="34" charset="-122"/>
              </a:rPr>
              <a:t>列表中的函数，Excel 将显示其语法。</a:t>
            </a:r>
            <a:endParaRPr kumimoji="0" lang="en-US" sz="12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576262</xdr:colOff>
      <xdr:row>10</xdr:row>
      <xdr:rowOff>80964</xdr:rowOff>
    </xdr:from>
    <xdr:to>
      <xdr:col>1</xdr:col>
      <xdr:colOff>4905374</xdr:colOff>
      <xdr:row>13</xdr:row>
      <xdr:rowOff>105671</xdr:rowOff>
    </xdr:to>
    <xdr:grpSp>
      <xdr:nvGrpSpPr>
        <xdr:cNvPr id="71" name="组_步骤">
          <a:extLst>
            <a:ext uri="{FF2B5EF4-FFF2-40B4-BE49-F238E27FC236}">
              <a16:creationId xmlns:a16="http://schemas.microsoft.com/office/drawing/2014/main" id="{BF405A0F-7FA6-4E62-A4D2-D48FD5B37F21}"/>
            </a:ext>
          </a:extLst>
        </xdr:cNvPr>
        <xdr:cNvGrpSpPr/>
      </xdr:nvGrpSpPr>
      <xdr:grpSpPr>
        <a:xfrm>
          <a:off x="576262" y="2633664"/>
          <a:ext cx="5453062" cy="662882"/>
          <a:chOff x="609600" y="7810500"/>
          <a:chExt cx="5186234" cy="596207"/>
        </a:xfrm>
      </xdr:grpSpPr>
      <xdr:sp macro="" textlink="">
        <xdr:nvSpPr>
          <xdr:cNvPr id="72" name="文本_步骤" descr="接下来，在其各自的文本框中输入函数参数。每输入一个参数，Excel 都会对其求值，并显示其结果，最终结果显示在底部。输入每个部分时，窗体底部将列出每个参数的条件。完成后请按“确定”，Excel 将为你输入公式。&#10;&#10;">
            <a:extLst>
              <a:ext uri="{FF2B5EF4-FFF2-40B4-BE49-F238E27FC236}">
                <a16:creationId xmlns:a16="http://schemas.microsoft.com/office/drawing/2014/main" id="{A358580A-E770-426C-AC4A-D3576DB6F54D}"/>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接下来，在其各自的文本框中输入函数参数。每输入一个参数，Excel 都会对其求值，并显示其结果，最终结果显示在底部。完成后请按“</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确定</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将为你输入公式。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73" name="形状_步骤"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561974</xdr:colOff>
      <xdr:row>31</xdr:row>
      <xdr:rowOff>109539</xdr:rowOff>
    </xdr:from>
    <xdr:to>
      <xdr:col>1</xdr:col>
      <xdr:colOff>713194</xdr:colOff>
      <xdr:row>33</xdr:row>
      <xdr:rowOff>25888</xdr:rowOff>
    </xdr:to>
    <xdr:sp macro="" textlink="">
      <xdr:nvSpPr>
        <xdr:cNvPr id="74" name="上一个工作表按钮" descr="返回到上一个工作表">
          <a:hlinkClick xmlns:r="http://schemas.openxmlformats.org/officeDocument/2006/relationships" r:id="rId9" tooltip="单击此处可返回到上一个工作表"/>
          <a:extLst>
            <a:ext uri="{FF2B5EF4-FFF2-40B4-BE49-F238E27FC236}">
              <a16:creationId xmlns:a16="http://schemas.microsoft.com/office/drawing/2014/main" id="{5E40797B-36B9-4C1B-9AE0-EA6AD5EEF027}"/>
            </a:ext>
          </a:extLst>
        </xdr:cNvPr>
        <xdr:cNvSpPr/>
      </xdr:nvSpPr>
      <xdr:spPr>
        <a:xfrm flipH="1">
          <a:off x="561974" y="707231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twoCellAnchor>
  <xdr:twoCellAnchor editAs="absolute">
    <xdr:from>
      <xdr:col>1</xdr:col>
      <xdr:colOff>3389360</xdr:colOff>
      <xdr:row>31</xdr:row>
      <xdr:rowOff>109539</xdr:rowOff>
    </xdr:from>
    <xdr:to>
      <xdr:col>1</xdr:col>
      <xdr:colOff>4664530</xdr:colOff>
      <xdr:row>33</xdr:row>
      <xdr:rowOff>25888</xdr:rowOff>
    </xdr:to>
    <xdr:sp macro="" textlink="">
      <xdr:nvSpPr>
        <xdr:cNvPr id="75" name="“下一步”按钮" descr="前进到下一个工作表">
          <a:hlinkClick xmlns:r="http://schemas.openxmlformats.org/officeDocument/2006/relationships" r:id="rId10" tooltip="单击此处可转到下一个工作表"/>
          <a:extLst>
            <a:ext uri="{FF2B5EF4-FFF2-40B4-BE49-F238E27FC236}">
              <a16:creationId xmlns:a16="http://schemas.microsoft.com/office/drawing/2014/main" id="{1C0B3F5D-086A-4A30-A12D-A0A3DB6D24E2}"/>
            </a:ext>
          </a:extLst>
        </xdr:cNvPr>
        <xdr:cNvSpPr/>
      </xdr:nvSpPr>
      <xdr:spPr>
        <a:xfrm>
          <a:off x="4513310" y="707231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oneCell">
    <xdr:from>
      <xdr:col>1</xdr:col>
      <xdr:colOff>732538</xdr:colOff>
      <xdr:row>15</xdr:row>
      <xdr:rowOff>114300</xdr:rowOff>
    </xdr:from>
    <xdr:to>
      <xdr:col>1</xdr:col>
      <xdr:colOff>4525597</xdr:colOff>
      <xdr:row>28</xdr:row>
      <xdr:rowOff>85725</xdr:rowOff>
    </xdr:to>
    <xdr:pic>
      <xdr:nvPicPr>
        <xdr:cNvPr id="7" name="图片 6">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599313" y="3724275"/>
          <a:ext cx="3793059" cy="2695575"/>
        </a:xfrm>
        <a:prstGeom prst="rect">
          <a:avLst/>
        </a:prstGeom>
      </xdr:spPr>
    </xdr:pic>
    <xdr:clientData/>
  </xdr:twoCellAnchor>
  <xdr:twoCellAnchor>
    <xdr:from>
      <xdr:col>1</xdr:col>
      <xdr:colOff>1544364</xdr:colOff>
      <xdr:row>15</xdr:row>
      <xdr:rowOff>94935</xdr:rowOff>
    </xdr:from>
    <xdr:to>
      <xdr:col>6</xdr:col>
      <xdr:colOff>571500</xdr:colOff>
      <xdr:row>34</xdr:row>
      <xdr:rowOff>191935</xdr:rowOff>
    </xdr:to>
    <xdr:grpSp>
      <xdr:nvGrpSpPr>
        <xdr:cNvPr id="8" name="组 7">
          <a:extLst>
            <a:ext uri="{FF2B5EF4-FFF2-40B4-BE49-F238E27FC236}">
              <a16:creationId xmlns:a16="http://schemas.microsoft.com/office/drawing/2014/main" id="{8F43BB86-459B-4A39-BF41-D15966065CB8}"/>
            </a:ext>
          </a:extLst>
        </xdr:cNvPr>
        <xdr:cNvGrpSpPr/>
      </xdr:nvGrpSpPr>
      <xdr:grpSpPr>
        <a:xfrm>
          <a:off x="2668314" y="3704910"/>
          <a:ext cx="8456886" cy="4078450"/>
          <a:chOff x="2411139" y="6788039"/>
          <a:chExt cx="7523436" cy="3716508"/>
        </a:xfrm>
      </xdr:grpSpPr>
      <xdr:grpSp>
        <xdr:nvGrpSpPr>
          <xdr:cNvPr id="96" name="组 95">
            <a:extLst>
              <a:ext uri="{FF2B5EF4-FFF2-40B4-BE49-F238E27FC236}">
                <a16:creationId xmlns:a16="http://schemas.microsoft.com/office/drawing/2014/main" id="{577BB227-C2B4-49F0-A57F-186EA94E85EE}"/>
              </a:ext>
            </a:extLst>
          </xdr:cNvPr>
          <xdr:cNvGrpSpPr/>
        </xdr:nvGrpSpPr>
        <xdr:grpSpPr>
          <a:xfrm>
            <a:off x="2733674" y="6788039"/>
            <a:ext cx="6924676" cy="1721009"/>
            <a:chOff x="2895600" y="6402275"/>
            <a:chExt cx="6924676" cy="1721009"/>
          </a:xfrm>
        </xdr:grpSpPr>
        <xdr:grpSp>
          <xdr:nvGrpSpPr>
            <xdr:cNvPr id="97" name="扩展知识" descr="扩展知识&#10;&#10;">
              <a:extLst>
                <a:ext uri="{FF2B5EF4-FFF2-40B4-BE49-F238E27FC236}">
                  <a16:creationId xmlns:a16="http://schemas.microsoft.com/office/drawing/2014/main" id="{FC9A679E-BCF4-47F2-9013-DDD119FE3134}"/>
                </a:ext>
              </a:extLst>
            </xdr:cNvPr>
            <xdr:cNvGrpSpPr/>
          </xdr:nvGrpSpPr>
          <xdr:grpSpPr>
            <a:xfrm>
              <a:off x="6391276" y="6402275"/>
              <a:ext cx="3429000" cy="1721009"/>
              <a:chOff x="6778625" y="15406408"/>
              <a:chExt cx="3538099" cy="1653052"/>
            </a:xfrm>
          </xdr:grpSpPr>
          <xdr:pic>
            <xdr:nvPicPr>
              <xdr:cNvPr id="100" name="图形 147" descr="眼镜">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406408"/>
                <a:ext cx="323347" cy="349115"/>
              </a:xfrm>
              <a:prstGeom prst="rect">
                <a:avLst/>
              </a:prstGeom>
            </xdr:spPr>
          </xdr:pic>
          <xdr:sp macro="" textlink="">
            <xdr:nvSpPr>
              <xdr:cNvPr id="99" name="步骤" descr="扩展知识&#10;可键入单元格和区域引用，或使用鼠标进行选择。&#10;&#10;">
                <a:extLst>
                  <a:ext uri="{FF2B5EF4-FFF2-40B4-BE49-F238E27FC236}">
                    <a16:creationId xmlns:a16="http://schemas.microsoft.com/office/drawing/2014/main" id="{F0AD040B-5C25-478A-B090-2BEE04AE7896}"/>
                  </a:ext>
                </a:extLst>
              </xdr:cNvPr>
              <xdr:cNvSpPr txBox="1"/>
            </xdr:nvSpPr>
            <xdr:spPr>
              <a:xfrm>
                <a:off x="7033130" y="15433860"/>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可键入单元格和区域引用，或使用鼠标进行选择。</a:t>
                </a:r>
                <a:endParaRPr lang="en-US" sz="1100">
                  <a:effectLst/>
                  <a:latin typeface="Microsoft YaHei UI" panose="020B0503020204020204" pitchFamily="34" charset="-122"/>
                  <a:ea typeface="Microsoft YaHei UI" panose="020B0503020204020204" pitchFamily="34" charset="-122"/>
                </a:endParaRPr>
              </a:p>
            </xdr:txBody>
          </xdr:sp>
        </xdr:grpSp>
        <xdr:cxnSp macro="">
          <xdr:nvCxnSpPr>
            <xdr:cNvPr id="98" name="连接符：曲线 97">
              <a:extLst>
                <a:ext uri="{FF2B5EF4-FFF2-40B4-BE49-F238E27FC236}">
                  <a16:creationId xmlns:a16="http://schemas.microsoft.com/office/drawing/2014/main" id="{0CC08E43-E456-4C6F-8248-9D4BC059339B}"/>
                </a:ext>
              </a:extLst>
            </xdr:cNvPr>
            <xdr:cNvCxnSpPr/>
          </xdr:nvCxnSpPr>
          <xdr:spPr>
            <a:xfrm rot="10800000" flipV="1">
              <a:off x="2895600" y="6532849"/>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扩展知识" descr="扩展知识&#10;&#10;">
            <a:extLst>
              <a:ext uri="{FF2B5EF4-FFF2-40B4-BE49-F238E27FC236}">
                <a16:creationId xmlns:a16="http://schemas.microsoft.com/office/drawing/2014/main" id="{822A9B89-A4CF-41F0-9CCC-5CA5434235A5}"/>
              </a:ext>
            </a:extLst>
          </xdr:cNvPr>
          <xdr:cNvGrpSpPr/>
        </xdr:nvGrpSpPr>
        <xdr:grpSpPr>
          <a:xfrm>
            <a:off x="2411139" y="8508841"/>
            <a:ext cx="7523436" cy="1995706"/>
            <a:chOff x="2779964" y="15746382"/>
            <a:chExt cx="6772887" cy="1916900"/>
          </a:xfrm>
        </xdr:grpSpPr>
        <xdr:pic>
          <xdr:nvPicPr>
            <xdr:cNvPr id="103" name="图形 147" descr="眼镜">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037682"/>
              <a:ext cx="323347" cy="349115"/>
            </a:xfrm>
            <a:prstGeom prst="rect">
              <a:avLst/>
            </a:prstGeom>
          </xdr:spPr>
        </xdr:pic>
        <xdr:sp macro="" textlink="">
          <xdr:nvSpPr>
            <xdr:cNvPr id="102" name="步骤" descr="扩展知识&#10;输入每个参数部分时，公式结果上方的窗体底部将显示参数说明。&#10;">
              <a:extLst>
                <a:ext uri="{FF2B5EF4-FFF2-40B4-BE49-F238E27FC236}">
                  <a16:creationId xmlns:a16="http://schemas.microsoft.com/office/drawing/2014/main" id="{F8A28036-EB7B-47D2-8921-DEDF7787534A}"/>
                </a:ext>
              </a:extLst>
            </xdr:cNvPr>
            <xdr:cNvSpPr txBox="1"/>
          </xdr:nvSpPr>
          <xdr:spPr>
            <a:xfrm>
              <a:off x="6385009" y="16037682"/>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输入每个参数部分时，公式结果上方的窗体底部将显示参数说明。</a:t>
              </a:r>
              <a:endParaRPr lang="en-US" sz="1100">
                <a:effectLst/>
                <a:latin typeface="Microsoft YaHei UI" panose="020B0503020204020204" pitchFamily="34" charset="-122"/>
                <a:ea typeface="Microsoft YaHei UI" panose="020B0503020204020204" pitchFamily="34" charset="-122"/>
              </a:endParaRPr>
            </a:p>
          </xdr:txBody>
        </xdr:sp>
        <xdr:sp macro="" textlink="">
          <xdr:nvSpPr>
            <xdr:cNvPr id="104" name="任意多边形：形状 103" descr="箭头">
              <a:extLst>
                <a:ext uri="{FF2B5EF4-FFF2-40B4-BE49-F238E27FC236}">
                  <a16:creationId xmlns:a16="http://schemas.microsoft.com/office/drawing/2014/main" id="{41D03DA7-0CB4-4D50-87B6-9CBB73CABAAD}"/>
                </a:ext>
              </a:extLst>
            </xdr:cNvPr>
            <xdr:cNvSpPr/>
          </xdr:nvSpPr>
          <xdr:spPr>
            <a:xfrm rot="16200000" flipH="1" flipV="1">
              <a:off x="4551447" y="13974899"/>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4953000</xdr:colOff>
      <xdr:row>44</xdr:row>
      <xdr:rowOff>180976</xdr:rowOff>
    </xdr:to>
    <xdr:sp macro="" textlink="">
      <xdr:nvSpPr>
        <xdr:cNvPr id="49" name="文本_教程背景" descr="背景">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4692647</xdr:colOff>
      <xdr:row>3</xdr:row>
      <xdr:rowOff>127153</xdr:rowOff>
    </xdr:to>
    <xdr:sp macro="" textlink="">
      <xdr:nvSpPr>
        <xdr:cNvPr id="50" name="文本_教程标题" descr="修复公式错误">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修复公式错误</a:t>
          </a:r>
        </a:p>
      </xdr:txBody>
    </xdr:sp>
    <xdr:clientData/>
  </xdr:twoCellAnchor>
  <xdr:twoCellAnchor editAs="absolute">
    <xdr:from>
      <xdr:col>0</xdr:col>
      <xdr:colOff>565153</xdr:colOff>
      <xdr:row>2</xdr:row>
      <xdr:rowOff>76201</xdr:rowOff>
    </xdr:from>
    <xdr:to>
      <xdr:col>1</xdr:col>
      <xdr:colOff>4689451</xdr:colOff>
      <xdr:row>2</xdr:row>
      <xdr:rowOff>76201</xdr:rowOff>
    </xdr:to>
    <xdr:cxnSp macro="">
      <xdr:nvCxnSpPr>
        <xdr:cNvPr id="51" name="文本_教程线条 1" descr="装饰性线条">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41</xdr:row>
      <xdr:rowOff>135466</xdr:rowOff>
    </xdr:from>
    <xdr:to>
      <xdr:col>1</xdr:col>
      <xdr:colOff>4689451</xdr:colOff>
      <xdr:row>41</xdr:row>
      <xdr:rowOff>135466</xdr:rowOff>
    </xdr:to>
    <xdr:cxnSp macro="">
      <xdr:nvCxnSpPr>
        <xdr:cNvPr id="52" name="文本_教程线条 2" descr="装饰性线条">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4699157</xdr:colOff>
      <xdr:row>6</xdr:row>
      <xdr:rowOff>122470</xdr:rowOff>
    </xdr:to>
    <xdr:sp macro="" textlink="">
      <xdr:nvSpPr>
        <xdr:cNvPr id="53" name="文本_教程简介" descr="有时，你会遇到含有错误的公式，Excel 显示为 #ErrorName!。错误很有用，因为它们可指出某些内容未正确运行，但进行修复并非易事。所幸，有通过多种方式可帮助你查找错误来源，并进行修复。">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有时，你会遇到含有错误的公式，Excel 显示为 #ErrorName。错误很有用，因为它们可指出某些内容未正确运行，但进行修复并非易事。所幸，有通过多种方式可帮助你查找错误来源，并进行修复。</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571500</xdr:colOff>
      <xdr:row>6</xdr:row>
      <xdr:rowOff>152400</xdr:rowOff>
    </xdr:from>
    <xdr:to>
      <xdr:col>1</xdr:col>
      <xdr:colOff>4677176</xdr:colOff>
      <xdr:row>9</xdr:row>
      <xdr:rowOff>110432</xdr:rowOff>
    </xdr:to>
    <xdr:grpSp>
      <xdr:nvGrpSpPr>
        <xdr:cNvPr id="2" name="组 1">
          <a:extLst>
            <a:ext uri="{FF2B5EF4-FFF2-40B4-BE49-F238E27FC236}">
              <a16:creationId xmlns:a16="http://schemas.microsoft.com/office/drawing/2014/main" id="{A8B5C958-0EB2-41E2-B876-52C03CDCE6CA}"/>
            </a:ext>
          </a:extLst>
        </xdr:cNvPr>
        <xdr:cNvGrpSpPr/>
      </xdr:nvGrpSpPr>
      <xdr:grpSpPr>
        <a:xfrm>
          <a:off x="571500" y="1924050"/>
          <a:ext cx="5229626" cy="596207"/>
          <a:chOff x="476250" y="1924050"/>
          <a:chExt cx="5220101" cy="596207"/>
        </a:xfrm>
      </xdr:grpSpPr>
      <xdr:sp macro="" textlink="">
        <xdr:nvSpPr>
          <xdr:cNvPr id="55" name="文本_步骤" descr="错误检查 - 转到“公式”&gt;“错误检查”。这将加载一个对话框，告知你特定错误的一般原因。在单元格 D9 中，引发 #N/A 错误的原因是没有匹配“苹果”的值。你可以修复此错误，方法是使用存在的值，通过 IFERROR 抑制错误，或知道在使用确实存在的值时错误会消失的情况下忽略它。">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 - 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”。这将加载一个对话框，告知你特定错误的一般原因。在单元格 D9 内，引发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错误的原因是没有匹配“苹</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果”的值。可以修复此错误，方法是使用存在的值，使用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抑制错误，或知道在使用确实存在的值时错误会消失的情况下忽略它。</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56" name="形状_步骤"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488555</xdr:colOff>
      <xdr:row>11</xdr:row>
      <xdr:rowOff>171450</xdr:rowOff>
    </xdr:from>
    <xdr:to>
      <xdr:col>1</xdr:col>
      <xdr:colOff>3683395</xdr:colOff>
      <xdr:row>20</xdr:row>
      <xdr:rowOff>190262</xdr:rowOff>
    </xdr:to>
    <xdr:pic>
      <xdr:nvPicPr>
        <xdr:cNvPr id="57" name="图片 56">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2505" y="3009900"/>
          <a:ext cx="3194840" cy="1904762"/>
        </a:xfrm>
        <a:prstGeom prst="rect">
          <a:avLst/>
        </a:prstGeom>
      </xdr:spPr>
    </xdr:pic>
    <xdr:clientData/>
  </xdr:twoCellAnchor>
  <xdr:twoCellAnchor editAs="absolute">
    <xdr:from>
      <xdr:col>0</xdr:col>
      <xdr:colOff>571500</xdr:colOff>
      <xdr:row>21</xdr:row>
      <xdr:rowOff>23813</xdr:rowOff>
    </xdr:from>
    <xdr:to>
      <xdr:col>1</xdr:col>
      <xdr:colOff>4677176</xdr:colOff>
      <xdr:row>23</xdr:row>
      <xdr:rowOff>200920</xdr:rowOff>
    </xdr:to>
    <xdr:grpSp>
      <xdr:nvGrpSpPr>
        <xdr:cNvPr id="3" name="组 2">
          <a:extLst>
            <a:ext uri="{FF2B5EF4-FFF2-40B4-BE49-F238E27FC236}">
              <a16:creationId xmlns:a16="http://schemas.microsoft.com/office/drawing/2014/main" id="{76285975-E71E-42A6-9427-0A2776DA5CC0}"/>
            </a:ext>
          </a:extLst>
        </xdr:cNvPr>
        <xdr:cNvGrpSpPr/>
      </xdr:nvGrpSpPr>
      <xdr:grpSpPr>
        <a:xfrm>
          <a:off x="571500" y="4957763"/>
          <a:ext cx="5229626" cy="596207"/>
          <a:chOff x="476250" y="4957763"/>
          <a:chExt cx="5220101" cy="596207"/>
        </a:xfrm>
      </xdr:grpSpPr>
      <xdr:sp macro="" textlink="">
        <xdr:nvSpPr>
          <xdr:cNvPr id="59" name="文本_步骤" descr="如果单击此错误上的“帮助”，将打开特定于此错误消息的帮助主题。如果单击“显示计算步骤”，将加载“公式求值”对话框。">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如果单击</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关于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此错误的帮助</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，将打开特定于此错误消息的帮助主题。如果单击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“显示计算步骤”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，将加载</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”对话框。</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0" name="形状_步骤"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55522</xdr:colOff>
      <xdr:row>24</xdr:row>
      <xdr:rowOff>104775</xdr:rowOff>
    </xdr:from>
    <xdr:to>
      <xdr:col>1</xdr:col>
      <xdr:colOff>4116428</xdr:colOff>
      <xdr:row>36</xdr:row>
      <xdr:rowOff>190171</xdr:rowOff>
    </xdr:to>
    <xdr:pic>
      <xdr:nvPicPr>
        <xdr:cNvPr id="61" name="图片 60">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9472" y="5667375"/>
          <a:ext cx="4060906" cy="2628571"/>
        </a:xfrm>
        <a:prstGeom prst="rect">
          <a:avLst/>
        </a:prstGeom>
      </xdr:spPr>
    </xdr:pic>
    <xdr:clientData/>
  </xdr:twoCellAnchor>
  <xdr:twoCellAnchor editAs="absolute">
    <xdr:from>
      <xdr:col>0</xdr:col>
      <xdr:colOff>571500</xdr:colOff>
      <xdr:row>37</xdr:row>
      <xdr:rowOff>47625</xdr:rowOff>
    </xdr:from>
    <xdr:to>
      <xdr:col>1</xdr:col>
      <xdr:colOff>4677176</xdr:colOff>
      <xdr:row>40</xdr:row>
      <xdr:rowOff>15182</xdr:rowOff>
    </xdr:to>
    <xdr:grpSp>
      <xdr:nvGrpSpPr>
        <xdr:cNvPr id="4" name="组 3">
          <a:extLst>
            <a:ext uri="{FF2B5EF4-FFF2-40B4-BE49-F238E27FC236}">
              <a16:creationId xmlns:a16="http://schemas.microsoft.com/office/drawing/2014/main" id="{85545FAE-3743-4F8E-97DB-E0C750FA7DE7}"/>
            </a:ext>
          </a:extLst>
        </xdr:cNvPr>
        <xdr:cNvGrpSpPr/>
      </xdr:nvGrpSpPr>
      <xdr:grpSpPr>
        <a:xfrm>
          <a:off x="571500" y="8372475"/>
          <a:ext cx="5229626" cy="596207"/>
          <a:chOff x="476250" y="8372475"/>
          <a:chExt cx="5220101" cy="596207"/>
        </a:xfrm>
      </xdr:grpSpPr>
      <xdr:sp macro="" textlink="">
        <xdr:nvSpPr>
          <xdr:cNvPr id="63" name="文本_步骤" descr="每次单击“求值”，Excel 都将逐步执行公式，一次一个部分。它不一定会告诉你出现错误的原因，但会指出位置。">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每次单击“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都将逐步执行公式，一次一个部分。它不一定会告诉你出现错误的原因，但会指出位置。在这里，查看帮助主题，推导公式出问题的位置。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4" name="形状_步骤"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editAs="absolute">
    <xdr:from>
      <xdr:col>0</xdr:col>
      <xdr:colOff>590550</xdr:colOff>
      <xdr:row>42</xdr:row>
      <xdr:rowOff>85725</xdr:rowOff>
    </xdr:from>
    <xdr:to>
      <xdr:col>1</xdr:col>
      <xdr:colOff>741772</xdr:colOff>
      <xdr:row>44</xdr:row>
      <xdr:rowOff>2074</xdr:rowOff>
    </xdr:to>
    <xdr:sp macro="" textlink="">
      <xdr:nvSpPr>
        <xdr:cNvPr id="65"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上一个工作表</a:t>
          </a:r>
        </a:p>
      </xdr:txBody>
    </xdr:sp>
    <xdr:clientData fPrintsWithSheet="0"/>
  </xdr:twoCellAnchor>
  <xdr:twoCellAnchor editAs="absolute">
    <xdr:from>
      <xdr:col>1</xdr:col>
      <xdr:colOff>3412659</xdr:colOff>
      <xdr:row>42</xdr:row>
      <xdr:rowOff>85725</xdr:rowOff>
    </xdr:from>
    <xdr:to>
      <xdr:col>1</xdr:col>
      <xdr:colOff>4687831</xdr:colOff>
      <xdr:row>44</xdr:row>
      <xdr:rowOff>2074</xdr:rowOff>
    </xdr:to>
    <xdr:sp macro="" textlink="">
      <xdr:nvSpPr>
        <xdr:cNvPr id="66" name="“下一步”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2</xdr:col>
      <xdr:colOff>514350</xdr:colOff>
      <xdr:row>36</xdr:row>
      <xdr:rowOff>104775</xdr:rowOff>
    </xdr:from>
    <xdr:to>
      <xdr:col>5</xdr:col>
      <xdr:colOff>407457</xdr:colOff>
      <xdr:row>41</xdr:row>
      <xdr:rowOff>208691</xdr:rowOff>
    </xdr:to>
    <xdr:grpSp>
      <xdr:nvGrpSpPr>
        <xdr:cNvPr id="67" name="实验" descr="实验">
          <a:extLst>
            <a:ext uri="{FF2B5EF4-FFF2-40B4-BE49-F238E27FC236}">
              <a16:creationId xmlns:a16="http://schemas.microsoft.com/office/drawing/2014/main" id="{7AB7F1CB-875F-43B5-84D0-9EF392715E5F}"/>
            </a:ext>
          </a:extLst>
        </xdr:cNvPr>
        <xdr:cNvGrpSpPr/>
      </xdr:nvGrpSpPr>
      <xdr:grpSpPr>
        <a:xfrm>
          <a:off x="7277100" y="8210550"/>
          <a:ext cx="2941107" cy="1161191"/>
          <a:chOff x="6375400" y="12710331"/>
          <a:chExt cx="3768724" cy="1161191"/>
        </a:xfrm>
      </xdr:grpSpPr>
      <xdr:sp macro="" textlink="">
        <xdr:nvSpPr>
          <xdr:cNvPr id="68" name="步骤" descr="实验&#10;这里有什么错误？提示：我们正在尝试对所有项目求和。&#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这里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有什么错误？提示：我们正在尝试对所有项目</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求和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9" name="任意多边形：形状 68" descr="括号线">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0" name="任意多边形：形状 69" descr="括号线">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1" name="弧形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2" name="弧形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pic>
        <xdr:nvPicPr>
          <xdr:cNvPr id="73" name="图形 96" descr="烧瓶">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1</xdr:col>
      <xdr:colOff>5305425</xdr:colOff>
      <xdr:row>20</xdr:row>
      <xdr:rowOff>118782</xdr:rowOff>
    </xdr:from>
    <xdr:to>
      <xdr:col>3</xdr:col>
      <xdr:colOff>1028700</xdr:colOff>
      <xdr:row>24</xdr:row>
      <xdr:rowOff>123829</xdr:rowOff>
    </xdr:to>
    <xdr:grpSp>
      <xdr:nvGrpSpPr>
        <xdr:cNvPr id="74" name="扩展知识" descr="扩展知识&#10;&#10;">
          <a:extLst>
            <a:ext uri="{FF2B5EF4-FFF2-40B4-BE49-F238E27FC236}">
              <a16:creationId xmlns:a16="http://schemas.microsoft.com/office/drawing/2014/main" id="{31BEE91F-7C0C-4732-BB35-0C8B019C6B03}"/>
            </a:ext>
          </a:extLst>
        </xdr:cNvPr>
        <xdr:cNvGrpSpPr/>
      </xdr:nvGrpSpPr>
      <xdr:grpSpPr>
        <a:xfrm>
          <a:off x="6429375" y="4843182"/>
          <a:ext cx="2505075" cy="843247"/>
          <a:chOff x="6778625" y="15665450"/>
          <a:chExt cx="2584778" cy="809949"/>
        </a:xfrm>
      </xdr:grpSpPr>
      <xdr:sp macro="" textlink="">
        <xdr:nvSpPr>
          <xdr:cNvPr id="75" name="步骤" descr="扩展知识&#10;单击“选项”，可设置 Excel 中显示或忽略错误的规则。&#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单击“</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选项</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”，可设置 Excel 中显示或忽略错误的规则。</a:t>
            </a:r>
            <a:endParaRPr lang="en-US" sz="1100">
              <a:effectLst/>
              <a:latin typeface="Microsoft YaHei UI" panose="020B0503020204020204" pitchFamily="34" charset="-122"/>
              <a:ea typeface="Microsoft YaHei UI" panose="020B0503020204020204" pitchFamily="34" charset="-122"/>
            </a:endParaRPr>
          </a:p>
        </xdr:txBody>
      </xdr:sp>
      <xdr:pic>
        <xdr:nvPicPr>
          <xdr:cNvPr id="76" name="图形 147" descr="眼镜">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1219201</xdr:colOff>
      <xdr:row>20</xdr:row>
      <xdr:rowOff>47626</xdr:rowOff>
    </xdr:from>
    <xdr:to>
      <xdr:col>1</xdr:col>
      <xdr:colOff>5248278</xdr:colOff>
      <xdr:row>21</xdr:row>
      <xdr:rowOff>57151</xdr:rowOff>
    </xdr:to>
    <xdr:cxnSp macro="">
      <xdr:nvCxnSpPr>
        <xdr:cNvPr id="77" name="连接符：曲线 76">
          <a:extLst>
            <a:ext uri="{FF2B5EF4-FFF2-40B4-BE49-F238E27FC236}">
              <a16:creationId xmlns:a16="http://schemas.microsoft.com/office/drawing/2014/main" id="{16767E7F-5A94-4A53-A7E2-81A5EF1897C0}"/>
            </a:ext>
          </a:extLst>
        </xdr:cNvPr>
        <xdr:cNvCxnSpPr/>
      </xdr:nvCxnSpPr>
      <xdr:spPr>
        <a:xfrm rot="10800000">
          <a:off x="2343151" y="4772026"/>
          <a:ext cx="4029077" cy="219075"/>
        </a:xfrm>
        <a:prstGeom prst="curvedConnector3">
          <a:avLst>
            <a:gd name="adj1" fmla="val 7104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45</xdr:row>
      <xdr:rowOff>152400</xdr:rowOff>
    </xdr:from>
    <xdr:to>
      <xdr:col>1</xdr:col>
      <xdr:colOff>5209413</xdr:colOff>
      <xdr:row>58</xdr:row>
      <xdr:rowOff>47625</xdr:rowOff>
    </xdr:to>
    <xdr:grpSp>
      <xdr:nvGrpSpPr>
        <xdr:cNvPr id="78" name="组 77">
          <a:extLst>
            <a:ext uri="{FF2B5EF4-FFF2-40B4-BE49-F238E27FC236}">
              <a16:creationId xmlns:a16="http://schemas.microsoft.com/office/drawing/2014/main" id="{340F396F-7EEE-4FE2-8349-58C6AAB22606}"/>
            </a:ext>
          </a:extLst>
        </xdr:cNvPr>
        <xdr:cNvGrpSpPr/>
      </xdr:nvGrpSpPr>
      <xdr:grpSpPr>
        <a:xfrm>
          <a:off x="342900" y="10153650"/>
          <a:ext cx="5990463" cy="2619375"/>
          <a:chOff x="352425" y="10715625"/>
          <a:chExt cx="5733288" cy="2390775"/>
        </a:xfrm>
      </xdr:grpSpPr>
      <xdr:sp macro="" textlink="">
        <xdr:nvSpPr>
          <xdr:cNvPr id="79" name="矩形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0" name="步骤" descr="访问网页获取详细信息&#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1" name="直接连接符 80" descr="装饰性线条">
            <a:extLst>
              <a:ext uri="{FF2B5EF4-FFF2-40B4-BE49-F238E27FC236}">
                <a16:creationId xmlns:a16="http://schemas.microsoft.com/office/drawing/2014/main" id="{D78368A3-B0DA-4D56-A2D9-D61314658FEC}"/>
              </a:ext>
            </a:extLst>
          </xdr:cNvPr>
          <xdr:cNvCxnSpPr>
            <a:cxnSpLocks/>
          </xdr:cNvCxnSpPr>
        </xdr:nvCxnSpPr>
        <xdr:spPr>
          <a:xfrm>
            <a:off x="585659" y="11275404"/>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接连接符​​ 81" descr="装饰性线条">
            <a:extLst>
              <a:ext uri="{FF2B5EF4-FFF2-40B4-BE49-F238E27FC236}">
                <a16:creationId xmlns:a16="http://schemas.microsoft.com/office/drawing/2014/main" id="{9F9DC1E5-92D2-4E32-BCB9-CCE0FAC9C8B2}"/>
              </a:ext>
            </a:extLst>
          </xdr:cNvPr>
          <xdr:cNvCxnSpPr>
            <a:cxnSpLocks/>
          </xdr:cNvCxnSpPr>
        </xdr:nvCxnSpPr>
        <xdr:spPr>
          <a:xfrm>
            <a:off x="585659" y="1299119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49</xdr:row>
      <xdr:rowOff>64219</xdr:rowOff>
    </xdr:from>
    <xdr:to>
      <xdr:col>1</xdr:col>
      <xdr:colOff>2552700</xdr:colOff>
      <xdr:row>51</xdr:row>
      <xdr:rowOff>23248</xdr:rowOff>
    </xdr:to>
    <xdr:grpSp>
      <xdr:nvGrpSpPr>
        <xdr:cNvPr id="83" name="组 82">
          <a:extLst>
            <a:ext uri="{FF2B5EF4-FFF2-40B4-BE49-F238E27FC236}">
              <a16:creationId xmlns:a16="http://schemas.microsoft.com/office/drawing/2014/main" id="{1612118D-530C-41CF-BA41-E6AC52C9311F}"/>
            </a:ext>
          </a:extLst>
        </xdr:cNvPr>
        <xdr:cNvGrpSpPr/>
      </xdr:nvGrpSpPr>
      <xdr:grpSpPr>
        <a:xfrm>
          <a:off x="552881" y="10903669"/>
          <a:ext cx="3123769" cy="378129"/>
          <a:chOff x="552881" y="10532194"/>
          <a:chExt cx="2866594" cy="359079"/>
        </a:xfrm>
      </xdr:grpSpPr>
      <xdr:sp macro="" textlink="">
        <xdr:nvSpPr>
          <xdr:cNvPr id="84" name="步骤" descr="有关 IF 函数的全部内容，超链接到网页&#10;&#10;">
            <a:hlinkClick xmlns:r="http://schemas.openxmlformats.org/officeDocument/2006/relationships" r:id="rId9" tooltip="选择此处，从网页上了解有关检测公式中错误的全部信息"/>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检测</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公式中的错误</a:t>
            </a:r>
          </a:p>
        </xdr:txBody>
      </xdr:sp>
      <xdr:pic>
        <xdr:nvPicPr>
          <xdr:cNvPr id="85" name="图形 22" descr="箭头">
            <a:hlinkClick xmlns:r="http://schemas.openxmlformats.org/officeDocument/2006/relationships" r:id="rId9" tooltip="选择此处，从网页上了解详细信息"/>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51</xdr:row>
      <xdr:rowOff>58285</xdr:rowOff>
    </xdr:from>
    <xdr:to>
      <xdr:col>1</xdr:col>
      <xdr:colOff>2581275</xdr:colOff>
      <xdr:row>53</xdr:row>
      <xdr:rowOff>22624</xdr:rowOff>
    </xdr:to>
    <xdr:grpSp>
      <xdr:nvGrpSpPr>
        <xdr:cNvPr id="86" name="组 85">
          <a:extLst>
            <a:ext uri="{FF2B5EF4-FFF2-40B4-BE49-F238E27FC236}">
              <a16:creationId xmlns:a16="http://schemas.microsoft.com/office/drawing/2014/main" id="{ADC1751D-5736-45B9-8E54-EF18BF377AD1}"/>
            </a:ext>
          </a:extLst>
        </xdr:cNvPr>
        <xdr:cNvGrpSpPr/>
      </xdr:nvGrpSpPr>
      <xdr:grpSpPr>
        <a:xfrm>
          <a:off x="552881" y="11316835"/>
          <a:ext cx="3152344" cy="383439"/>
          <a:chOff x="552881" y="10907260"/>
          <a:chExt cx="2895169" cy="364389"/>
        </a:xfrm>
      </xdr:grpSpPr>
      <xdr:sp macro="" textlink="">
        <xdr:nvSpPr>
          <xdr:cNvPr id="87" name="步骤" descr="有关 IFS 函数的全部内容，超链接到网页&#10;">
            <a:hlinkClick xmlns:r="http://schemas.openxmlformats.org/officeDocument/2006/relationships" r:id="rId12" tooltip="选择此处，从网页上了解有关如何避免公式被破坏的全部信息"/>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如何避免</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损坏的公式</a:t>
            </a:r>
            <a:endPar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12" tooltip="选择此处，从网页上了解详细信息"/>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55</xdr:row>
      <xdr:rowOff>89203</xdr:rowOff>
    </xdr:from>
    <xdr:to>
      <xdr:col>1</xdr:col>
      <xdr:colOff>2202742</xdr:colOff>
      <xdr:row>57</xdr:row>
      <xdr:rowOff>72592</xdr:rowOff>
    </xdr:to>
    <xdr:grpSp>
      <xdr:nvGrpSpPr>
        <xdr:cNvPr id="89" name="组 88">
          <a:extLst>
            <a:ext uri="{FF2B5EF4-FFF2-40B4-BE49-F238E27FC236}">
              <a16:creationId xmlns:a16="http://schemas.microsoft.com/office/drawing/2014/main" id="{7988A760-4FB2-4E7F-B1F1-2324CEF3CF3E}"/>
            </a:ext>
          </a:extLst>
        </xdr:cNvPr>
        <xdr:cNvGrpSpPr/>
      </xdr:nvGrpSpPr>
      <xdr:grpSpPr>
        <a:xfrm>
          <a:off x="552881" y="12185953"/>
          <a:ext cx="2773811" cy="402489"/>
          <a:chOff x="552881" y="11700178"/>
          <a:chExt cx="2516636" cy="364389"/>
        </a:xfrm>
      </xdr:grpSpPr>
      <xdr:sp macro="" textlink="">
        <xdr:nvSpPr>
          <xdr:cNvPr id="90" name="步骤" descr="免费 Excel 在线培训，超链接到网页&#10;">
            <a:hlinkClick xmlns:r="http://schemas.openxmlformats.org/officeDocument/2006/relationships" r:id="rId13" tooltip="选择此处，从网页上了解免费 Excel 培训"/>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免费 Excel 在线培训</a:t>
            </a:r>
          </a:p>
        </xdr:txBody>
      </xdr:sp>
      <xdr:pic>
        <xdr:nvPicPr>
          <xdr:cNvPr id="91" name="图形 22" descr="箭头">
            <a:hlinkClick xmlns:r="http://schemas.openxmlformats.org/officeDocument/2006/relationships" r:id="rId13" tooltip="选择此处，从网页上了解详细信息"/>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53</xdr:row>
      <xdr:rowOff>57661</xdr:rowOff>
    </xdr:from>
    <xdr:to>
      <xdr:col>1</xdr:col>
      <xdr:colOff>3486149</xdr:colOff>
      <xdr:row>55</xdr:row>
      <xdr:rowOff>22000</xdr:rowOff>
    </xdr:to>
    <xdr:grpSp>
      <xdr:nvGrpSpPr>
        <xdr:cNvPr id="92" name="组 91">
          <a:extLst>
            <a:ext uri="{FF2B5EF4-FFF2-40B4-BE49-F238E27FC236}">
              <a16:creationId xmlns:a16="http://schemas.microsoft.com/office/drawing/2014/main" id="{1287D230-E85C-41F6-AC03-12C8065534DF}"/>
            </a:ext>
          </a:extLst>
        </xdr:cNvPr>
        <xdr:cNvGrpSpPr/>
      </xdr:nvGrpSpPr>
      <xdr:grpSpPr>
        <a:xfrm>
          <a:off x="552881" y="11735311"/>
          <a:ext cx="4057218" cy="383439"/>
          <a:chOff x="552881" y="11287636"/>
          <a:chExt cx="3800043" cy="364389"/>
        </a:xfrm>
      </xdr:grpSpPr>
      <xdr:sp macro="" textlink="">
        <xdr:nvSpPr>
          <xdr:cNvPr id="93" name="步骤" descr="高级 IF 语句，超链接到网页&#10;">
            <a:hlinkClick xmlns:r="http://schemas.openxmlformats.org/officeDocument/2006/relationships" r:id="rId14" tooltip="选择此处，从网页上了解有关如何逐步求值嵌套公式的全部内容"/>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对嵌套公式进行分步求值</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4" name="图形 22" descr="箭头">
            <a:hlinkClick xmlns:r="http://schemas.openxmlformats.org/officeDocument/2006/relationships" r:id="rId14" tooltip="选择此处，从网页上了解详细信息"/>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12</xdr:row>
      <xdr:rowOff>150547</xdr:rowOff>
    </xdr:from>
    <xdr:ext cx="8554336" cy="0"/>
    <xdr:cxnSp macro="">
      <xdr:nvCxnSpPr>
        <xdr:cNvPr id="2" name="直接连接符 1" descr="装饰性线条">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200650"/>
    <xdr:grpSp>
      <xdr:nvGrpSpPr>
        <xdr:cNvPr id="32" name="组 31">
          <a:extLst>
            <a:ext uri="{FF2B5EF4-FFF2-40B4-BE49-F238E27FC236}">
              <a16:creationId xmlns:a16="http://schemas.microsoft.com/office/drawing/2014/main" id="{6725C923-6B3B-4CCA-98A0-990F1C1B87A8}"/>
            </a:ext>
          </a:extLst>
        </xdr:cNvPr>
        <xdr:cNvGrpSpPr/>
      </xdr:nvGrpSpPr>
      <xdr:grpSpPr>
        <a:xfrm>
          <a:off x="333376" y="352425"/>
          <a:ext cx="9309411" cy="5200650"/>
          <a:chOff x="171451" y="285750"/>
          <a:chExt cx="9309411" cy="5200650"/>
        </a:xfrm>
      </xdr:grpSpPr>
      <xdr:grpSp>
        <xdr:nvGrpSpPr>
          <xdr:cNvPr id="13" name="组 12">
            <a:extLst>
              <a:ext uri="{FF2B5EF4-FFF2-40B4-BE49-F238E27FC236}">
                <a16:creationId xmlns:a16="http://schemas.microsoft.com/office/drawing/2014/main" id="{3FA7D425-D370-44B8-8FA4-045B5D6E310A}"/>
              </a:ext>
            </a:extLst>
          </xdr:cNvPr>
          <xdr:cNvGrpSpPr/>
        </xdr:nvGrpSpPr>
        <xdr:grpSpPr>
          <a:xfrm>
            <a:off x="171451" y="285750"/>
            <a:ext cx="9309411" cy="5200650"/>
            <a:chOff x="171451" y="285750"/>
            <a:chExt cx="9309411" cy="5200650"/>
          </a:xfrm>
        </xdr:grpSpPr>
        <xdr:sp macro="" textlink="">
          <xdr:nvSpPr>
            <xdr:cNvPr id="30" name="矩形 29" descr="背景">
              <a:extLst>
                <a:ext uri="{FF2B5EF4-FFF2-40B4-BE49-F238E27FC236}">
                  <a16:creationId xmlns:a16="http://schemas.microsoft.com/office/drawing/2014/main" id="{7626CA03-671C-4586-BB83-B5B27BDAF61D}"/>
                </a:ext>
              </a:extLst>
            </xdr:cNvPr>
            <xdr:cNvSpPr/>
          </xdr:nvSpPr>
          <xdr:spPr>
            <a:xfrm>
              <a:off x="171451" y="285750"/>
              <a:ext cx="9299853" cy="516255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31" name="矩形 30" descr="背景">
              <a:extLst>
                <a:ext uri="{FF2B5EF4-FFF2-40B4-BE49-F238E27FC236}">
                  <a16:creationId xmlns:a16="http://schemas.microsoft.com/office/drawing/2014/main" id="{0EF2E102-5A65-4310-A323-6E9410B364FE}"/>
                </a:ext>
              </a:extLst>
            </xdr:cNvPr>
            <xdr:cNvSpPr/>
          </xdr:nvSpPr>
          <xdr:spPr>
            <a:xfrm>
              <a:off x="171451" y="1332861"/>
              <a:ext cx="9309411" cy="415353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14" name="欢迎消息" descr="请继续观看。还有许多其他方式可简化工作：">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请继续观看。下面是关于 Excel 的更多内容：</a:t>
            </a:r>
            <a:endParaRPr lang="en-US" sz="1600" b="0">
              <a:solidFill>
                <a:schemeClr val="tx1">
                  <a:lumMod val="75000"/>
                  <a:lumOff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5" name="欢迎消息" descr="还有其他 Excel 问题？">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2600" b="0" i="0" baseline="0">
                <a:solidFill>
                  <a:schemeClr val="bg1"/>
                </a:solidFill>
                <a:effectLst/>
                <a:latin typeface="Microsoft YaHei UI" panose="020B0503020204020204" pitchFamily="34" charset="-122"/>
                <a:ea typeface="Microsoft YaHei UI" panose="020B0503020204020204" pitchFamily="34" charset="-122"/>
                <a:cs typeface="Segoe UI" pitchFamily="34" charset="0"/>
              </a:rPr>
              <a:t>还有其他 Excel 问题？</a:t>
            </a:r>
            <a:endParaRPr lang="en-US" sz="2600" b="0">
              <a:latin typeface="Microsoft YaHei UI" panose="020B0503020204020204" pitchFamily="34" charset="-122"/>
              <a:ea typeface="Microsoft YaHei UI" panose="020B0503020204020204" pitchFamily="34" charset="-122"/>
              <a:cs typeface="Segoe UI" pitchFamily="34" charset="0"/>
            </a:endParaRPr>
          </a:p>
        </xdr:txBody>
      </xdr:sp>
      <xdr:pic>
        <xdr:nvPicPr>
          <xdr:cNvPr id="18" name="图片 17" descr="“操作说明搜索”按钮">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2313" y="1458511"/>
            <a:ext cx="1012148" cy="942779"/>
          </a:xfrm>
          <a:prstGeom prst="rect">
            <a:avLst/>
          </a:prstGeom>
        </xdr:spPr>
      </xdr:pic>
      <xdr:sp macro="" textlink="">
        <xdr:nvSpPr>
          <xdr:cNvPr id="19" name="欢迎消息" descr="单击“操作说明搜索”按钮，然后键入你要了解的内容">
            <a:extLst>
              <a:ext uri="{FF2B5EF4-FFF2-40B4-BE49-F238E27FC236}">
                <a16:creationId xmlns:a16="http://schemas.microsoft.com/office/drawing/2014/main" id="{5778FEE5-3107-48FB-9854-7817EF5A9214}"/>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单击</a:t>
            </a:r>
            <a:r>
              <a:rPr 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a:t>
            </a:r>
            <a:r>
              <a:rPr lang="zh-CN" altLang="en-US" sz="1600" b="1"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请告诉我</a:t>
            </a:r>
            <a:r>
              <a:rPr 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a:t>
            </a:r>
            <a:r>
              <a:rPr lang="en-US" alt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                  </a:t>
            </a:r>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按钮，然后键入你要了解的内容。</a:t>
            </a:r>
          </a:p>
        </xdr:txBody>
      </xdr:sp>
      <xdr:pic>
        <xdr:nvPicPr>
          <xdr:cNvPr id="20" name="图片 19">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93276" y="1892807"/>
            <a:ext cx="2271866" cy="674006"/>
          </a:xfrm>
          <a:prstGeom prst="rect">
            <a:avLst/>
          </a:prstGeom>
        </xdr:spPr>
      </xdr:pic>
      <xdr:sp macro="" textlink="">
        <xdr:nvSpPr>
          <xdr:cNvPr id="23" name="文本框 22" descr="了解详细信息">
            <a:hlinkClick xmlns:r="http://schemas.openxmlformats.org/officeDocument/2006/relationships" r:id="rId3" tooltip="从网页上了解有关 Excel 社区的详细信息"/>
            <a:extLst>
              <a:ext uri="{FF2B5EF4-FFF2-40B4-BE49-F238E27FC236}">
                <a16:creationId xmlns:a16="http://schemas.microsoft.com/office/drawing/2014/main" id="{0E4F3BD9-1086-4455-B51C-A8936225A3CC}"/>
              </a:ext>
            </a:extLst>
          </xdr:cNvPr>
          <xdr:cNvSpPr txBox="1"/>
        </xdr:nvSpPr>
        <xdr:spPr>
          <a:xfrm>
            <a:off x="1853072" y="4579026"/>
            <a:ext cx="1956928" cy="401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b="1"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a:t>
            </a:r>
            <a:r>
              <a:rPr lang="zh-CN" altLang="en-US" sz="1200" b="1"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（仅限英文）</a:t>
            </a:r>
            <a:endParaRPr lang="en-US" sz="1200" b="1"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4" name="文本框 23" descr="了解详细信息">
            <a:hlinkClick xmlns:r="http://schemas.openxmlformats.org/officeDocument/2006/relationships" r:id="rId4" tooltip="从网页上了解有关 Excel 中新增功能的详细信息"/>
            <a:extLst>
              <a:ext uri="{FF2B5EF4-FFF2-40B4-BE49-F238E27FC236}">
                <a16:creationId xmlns:a16="http://schemas.microsoft.com/office/drawing/2014/main" id="{C99A8BC1-9314-4FC6-B158-3CC6B224F07E}"/>
              </a:ext>
            </a:extLst>
          </xdr:cNvPr>
          <xdr:cNvSpPr txBox="1"/>
        </xdr:nvSpPr>
        <xdr:spPr>
          <a:xfrm>
            <a:off x="5109917" y="4607601"/>
            <a:ext cx="1221386" cy="401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b="1"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a:t>
            </a:r>
            <a:endParaRPr lang="en-US" sz="1200" b="1"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5" name="文本框 24" descr="社区&#10;提问并与其他 Excel 爱好者联系">
            <a:extLst>
              <a:ext uri="{FF2B5EF4-FFF2-40B4-BE49-F238E27FC236}">
                <a16:creationId xmlns:a16="http://schemas.microsoft.com/office/drawing/2014/main" id="{1293751F-7023-4F3D-A3F2-7A62FD5D2D64}"/>
              </a:ext>
            </a:extLst>
          </xdr:cNvPr>
          <xdr:cNvSpPr txBox="1"/>
        </xdr:nvSpPr>
        <xdr:spPr>
          <a:xfrm>
            <a:off x="1853073" y="3593075"/>
            <a:ext cx="1368295" cy="95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社区</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提问并与其他 Excel 爱好者联系。</a:t>
            </a:r>
          </a:p>
        </xdr:txBody>
      </xdr:sp>
      <xdr:sp macro="" textlink="">
        <xdr:nvSpPr>
          <xdr:cNvPr id="28" name="文本框 27" descr="其他新增功能？&#10;Office 365 订阅者将获得持续的更新和新功能">
            <a:extLst>
              <a:ext uri="{FF2B5EF4-FFF2-40B4-BE49-F238E27FC236}">
                <a16:creationId xmlns:a16="http://schemas.microsoft.com/office/drawing/2014/main" id="{ECCFA6AB-0C67-4817-85A5-BD3EDB6C982F}"/>
              </a:ext>
            </a:extLst>
          </xdr:cNvPr>
          <xdr:cNvSpPr txBox="1"/>
        </xdr:nvSpPr>
        <xdr:spPr>
          <a:xfrm>
            <a:off x="5057776" y="3625535"/>
            <a:ext cx="1646696" cy="882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其他新增功能？</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Office 365 订阅者将获得持续的更新和新功能。</a:t>
            </a:r>
            <a:endParaRPr lang="en-US" sz="11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29" name="图片 28" descr="社区">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956536" y="3731025"/>
            <a:ext cx="842713" cy="704185"/>
          </a:xfrm>
          <a:prstGeom prst="rect">
            <a:avLst/>
          </a:prstGeom>
        </xdr:spPr>
      </xdr:pic>
    </xdr:grpSp>
    <xdr:clientData/>
  </xdr:oneCellAnchor>
  <xdr:oneCellAnchor>
    <xdr:from>
      <xdr:col>1</xdr:col>
      <xdr:colOff>3545763</xdr:colOff>
      <xdr:row>16</xdr:row>
      <xdr:rowOff>41562</xdr:rowOff>
    </xdr:from>
    <xdr:ext cx="974505" cy="786961"/>
    <xdr:grpSp>
      <xdr:nvGrpSpPr>
        <xdr:cNvPr id="5" name="组 4" descr="其他新增功能？">
          <a:extLst>
            <a:ext uri="{FF2B5EF4-FFF2-40B4-BE49-F238E27FC236}">
              <a16:creationId xmlns:a16="http://schemas.microsoft.com/office/drawing/2014/main" id="{C26483B0-64DC-4BE9-92D8-7D9943F8404A}"/>
            </a:ext>
          </a:extLst>
        </xdr:cNvPr>
        <xdr:cNvGrpSpPr/>
      </xdr:nvGrpSpPr>
      <xdr:grpSpPr>
        <a:xfrm>
          <a:off x="4307763" y="3661062"/>
          <a:ext cx="974505" cy="786961"/>
          <a:chOff x="6717588" y="3592566"/>
          <a:chExt cx="974505" cy="786961"/>
        </a:xfrm>
      </xdr:grpSpPr>
      <xdr:pic>
        <xdr:nvPicPr>
          <xdr:cNvPr id="6" name="图形 5" descr="报纸">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组 6" descr="辐射线条">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直接连接符​​ 7" descr="线条">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直接连接符 8" descr="线条">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descr="线条">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接连接符 10" descr="线条">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直接连接符​ 11" descr="线条">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asic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ditional%20Func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ditional Function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autoFilter ref="Z2:Z6" xr:uid="{00000000-0009-0000-0100-000001000000}"/>
  <tableColumns count="1">
    <tableColumn id="1" xr3:uid="{00000000-0010-0000-0000-000001000000}" name="水果"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autoFilter ref="AB2:AB4" xr:uid="{00000000-0009-0000-0100-000002000000}"/>
  <tableColumns count="1">
    <tableColumn id="1" xr3:uid="{00000000-0010-0000-0100-000001000000}" name="苹果"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autoFilter ref="AD2:AD4" xr:uid="{00000000-0009-0000-0100-000003000000}"/>
  <tableColumns count="1">
    <tableColumn id="1" xr3:uid="{00000000-0010-0000-0200-000001000000}" name="橙子"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autoFilter ref="AH2:AH4" xr:uid="{00000000-0009-0000-0100-000004000000}"/>
  <tableColumns count="1">
    <tableColumn id="1" xr3:uid="{00000000-0010-0000-0300-000001000000}" name="柠檬"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autoFilter ref="AF2:AF4" xr:uid="{00000000-0009-0000-0100-000005000000}"/>
  <tableColumns count="1">
    <tableColumn id="1" xr3:uid="{00000000-0010-0000-0400-000001000000}" name="香蕉"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44CA926-211C-46F4-A033-231DAF833682}">
  <we:reference id="56ea8b68-fbaf-4a26-a253-b2384b9d37d3" version="1.0.0.0" store="\\TKYTHOMLAPTOP\Users\t-kythom\Source\Repos\LearnOffice"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upport.office.com/zh-cn/article/what-s-new-in-excel-2016-for-windows-5fdb9208-ff33-45b6-9e08-1f5cdb3a6c73?ui=zh-CN&amp;rs=zh-001&amp;ad=CN" TargetMode="External"/><Relationship Id="rId1" Type="http://schemas.openxmlformats.org/officeDocument/2006/relationships/hyperlink" Target="http://go.microsoft.com/fwlink/?LinkId=844969" TargetMode="Externa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G5"/>
  <sheetViews>
    <sheetView showGridLines="0" showRowColHeaders="0" tabSelected="1" workbookViewId="0"/>
  </sheetViews>
  <sheetFormatPr defaultColWidth="11.21875" defaultRowHeight="20.25" customHeight="1"/>
  <cols>
    <col min="1" max="1" width="101.6640625" style="123" customWidth="1"/>
    <col min="2" max="2" width="3.6640625" style="123" customWidth="1"/>
    <col min="3" max="16384" width="11.21875" style="123"/>
  </cols>
  <sheetData>
    <row r="1" spans="1:7" ht="20.25" customHeight="1">
      <c r="A1" s="116"/>
    </row>
    <row r="2" spans="1:7" ht="102" customHeight="1">
      <c r="A2" s="116" t="s">
        <v>0</v>
      </c>
      <c r="G2" s="124"/>
    </row>
    <row r="3" spans="1:7" ht="48">
      <c r="A3" s="117" t="s">
        <v>272</v>
      </c>
    </row>
    <row r="4" spans="1:7" ht="264" customHeight="1">
      <c r="A4" s="118" t="s">
        <v>1</v>
      </c>
    </row>
    <row r="5" spans="1:7" ht="20.25" customHeight="1">
      <c r="A5" s="117"/>
    </row>
  </sheetData>
  <phoneticPr fontId="7"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86"/>
  <sheetViews>
    <sheetView showGridLines="0" zoomScaleNormal="100" workbookViewId="0"/>
  </sheetViews>
  <sheetFormatPr defaultColWidth="9.21875" defaultRowHeight="16.5"/>
  <cols>
    <col min="1" max="1" width="12.77734375" style="2" customWidth="1"/>
    <col min="2" max="2" width="65.77734375" style="10" customWidth="1"/>
    <col min="3" max="3" width="14.33203125" style="10" customWidth="1"/>
    <col min="4" max="4" width="2.33203125" style="10" customWidth="1"/>
    <col min="5" max="5" width="18.109375" style="10" customWidth="1"/>
    <col min="6" max="6" width="15.77734375" style="10" customWidth="1"/>
    <col min="7" max="7" width="13.33203125" style="10" customWidth="1"/>
    <col min="8" max="10" width="9.21875" style="10"/>
    <col min="11" max="11" width="8.88671875" style="10" customWidth="1"/>
    <col min="12" max="16384" width="9.21875" style="10"/>
  </cols>
  <sheetData>
    <row r="1" spans="1:7" ht="60" customHeight="1">
      <c r="A1" s="2" t="s">
        <v>2</v>
      </c>
      <c r="C1" s="11"/>
      <c r="D1" s="12"/>
      <c r="E1" s="12"/>
      <c r="F1" s="12"/>
    </row>
    <row r="2" spans="1:7" ht="17.25" thickBot="1">
      <c r="A2" s="2" t="s">
        <v>3</v>
      </c>
      <c r="C2" s="13" t="s">
        <v>27</v>
      </c>
      <c r="E2" s="8" t="s">
        <v>28</v>
      </c>
      <c r="F2" s="6" t="s">
        <v>34</v>
      </c>
      <c r="G2" s="6" t="s">
        <v>35</v>
      </c>
    </row>
    <row r="3" spans="1:7" ht="18" thickTop="1" thickBot="1">
      <c r="A3" s="2" t="s">
        <v>4</v>
      </c>
      <c r="C3" s="14">
        <v>1</v>
      </c>
      <c r="E3" s="15" t="s">
        <v>29</v>
      </c>
      <c r="F3" s="16"/>
      <c r="G3" s="17">
        <f>C3+C4</f>
        <v>3</v>
      </c>
    </row>
    <row r="4" spans="1:7" ht="18" thickTop="1" thickBot="1">
      <c r="A4" s="2" t="s">
        <v>5</v>
      </c>
      <c r="C4" s="14">
        <v>2</v>
      </c>
      <c r="E4" s="15" t="s">
        <v>30</v>
      </c>
      <c r="F4" s="16"/>
      <c r="G4" s="17">
        <f>C3-C4</f>
        <v>-1</v>
      </c>
    </row>
    <row r="5" spans="1:7" ht="17.25" thickTop="1">
      <c r="A5" s="2" t="s">
        <v>6</v>
      </c>
      <c r="E5" s="15" t="s">
        <v>31</v>
      </c>
      <c r="F5" s="16"/>
      <c r="G5" s="17">
        <f>C3*C4</f>
        <v>2</v>
      </c>
    </row>
    <row r="6" spans="1:7" ht="17.25" thickBot="1">
      <c r="A6" s="2" t="s">
        <v>7</v>
      </c>
      <c r="E6" s="15" t="s">
        <v>32</v>
      </c>
      <c r="F6" s="16"/>
      <c r="G6" s="17">
        <f>C3/C4</f>
        <v>0.5</v>
      </c>
    </row>
    <row r="7" spans="1:7" ht="15" customHeight="1" thickTop="1" thickBot="1">
      <c r="A7" s="2" t="s">
        <v>8</v>
      </c>
      <c r="E7" s="15" t="s">
        <v>33</v>
      </c>
      <c r="F7" s="18"/>
      <c r="G7" s="17">
        <f>C3^C4</f>
        <v>1</v>
      </c>
    </row>
    <row r="8" spans="1:7" ht="17.25" thickTop="1">
      <c r="A8" s="2" t="s">
        <v>9</v>
      </c>
    </row>
    <row r="9" spans="1:7">
      <c r="A9" s="2" t="s">
        <v>10</v>
      </c>
    </row>
    <row r="10" spans="1:7">
      <c r="A10" s="2" t="s">
        <v>11</v>
      </c>
    </row>
    <row r="11" spans="1:7">
      <c r="A11" s="2" t="s">
        <v>12</v>
      </c>
    </row>
    <row r="12" spans="1:7">
      <c r="A12" s="2" t="s">
        <v>13</v>
      </c>
    </row>
    <row r="13" spans="1:7" ht="16.5" customHeight="1">
      <c r="A13" s="3" t="s">
        <v>290</v>
      </c>
    </row>
    <row r="14" spans="1:7">
      <c r="A14" s="2" t="s">
        <v>14</v>
      </c>
    </row>
    <row r="15" spans="1:7">
      <c r="A15" s="2" t="s">
        <v>15</v>
      </c>
    </row>
    <row r="16" spans="1:7">
      <c r="A16" s="2" t="s">
        <v>16</v>
      </c>
    </row>
    <row r="17" spans="1:7">
      <c r="A17" s="19" t="s">
        <v>17</v>
      </c>
    </row>
    <row r="18" spans="1:7">
      <c r="A18" s="19" t="s">
        <v>281</v>
      </c>
    </row>
    <row r="19" spans="1:7">
      <c r="A19" s="19" t="s">
        <v>18</v>
      </c>
    </row>
    <row r="20" spans="1:7">
      <c r="A20" s="19" t="s">
        <v>19</v>
      </c>
    </row>
    <row r="21" spans="1:7" ht="15" customHeight="1">
      <c r="A21" s="3" t="s">
        <v>20</v>
      </c>
    </row>
    <row r="22" spans="1:7">
      <c r="A22" s="19" t="s">
        <v>21</v>
      </c>
    </row>
    <row r="23" spans="1:7">
      <c r="A23" s="19" t="s">
        <v>22</v>
      </c>
    </row>
    <row r="24" spans="1:7">
      <c r="A24" s="19" t="s">
        <v>23</v>
      </c>
    </row>
    <row r="25" spans="1:7" ht="30">
      <c r="A25" s="19" t="s">
        <v>24</v>
      </c>
      <c r="C25" s="11"/>
      <c r="D25" s="12"/>
      <c r="E25" s="12"/>
      <c r="F25" s="12"/>
      <c r="G25" s="12"/>
    </row>
    <row r="26" spans="1:7">
      <c r="A26" s="19" t="s">
        <v>25</v>
      </c>
    </row>
    <row r="27" spans="1:7">
      <c r="A27" s="19" t="s">
        <v>298</v>
      </c>
    </row>
    <row r="28" spans="1:7" ht="27.75">
      <c r="A28" s="19" t="s">
        <v>297</v>
      </c>
      <c r="E28" s="20"/>
    </row>
    <row r="29" spans="1:7">
      <c r="A29" s="19" t="s">
        <v>26</v>
      </c>
    </row>
    <row r="40" spans="10:10">
      <c r="J40" s="6" t="s">
        <v>36</v>
      </c>
    </row>
    <row r="41" spans="10:10">
      <c r="J41" s="21">
        <v>4</v>
      </c>
    </row>
    <row r="42" spans="10:10">
      <c r="J42" s="21">
        <v>8</v>
      </c>
    </row>
    <row r="43" spans="10:10">
      <c r="J43" s="22">
        <f>SUM(J41:J42)</f>
        <v>12</v>
      </c>
    </row>
    <row r="64" spans="7:7">
      <c r="G64" s="23"/>
    </row>
    <row r="65" spans="4:7">
      <c r="G65" s="23"/>
    </row>
    <row r="66" spans="4:7">
      <c r="G66" s="23"/>
    </row>
    <row r="67" spans="4:7">
      <c r="D67" s="24"/>
      <c r="G67" s="23"/>
    </row>
    <row r="86" ht="17.45" customHeight="1"/>
  </sheetData>
  <phoneticPr fontId="7" type="noConversion"/>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heetViews>
  <sheetFormatPr defaultColWidth="8.88671875" defaultRowHeight="15" customHeight="1"/>
  <cols>
    <col min="1" max="1" width="12.77734375" style="1" customWidth="1"/>
    <col min="2" max="2" width="65.77734375" style="27" customWidth="1"/>
    <col min="3" max="4" width="13.33203125" style="27" customWidth="1"/>
    <col min="5" max="5" width="2.33203125" style="27" customWidth="1"/>
    <col min="6" max="6" width="16.109375" style="27" customWidth="1"/>
    <col min="7" max="7" width="13.33203125" style="27" customWidth="1"/>
    <col min="8" max="16384" width="8.88671875" style="27"/>
  </cols>
  <sheetData>
    <row r="1" spans="1:13" ht="60" customHeight="1">
      <c r="A1" s="1" t="s">
        <v>37</v>
      </c>
      <c r="B1" s="25"/>
      <c r="C1" s="11"/>
      <c r="D1" s="26"/>
      <c r="E1" s="26"/>
      <c r="F1" s="26"/>
      <c r="G1" s="26"/>
    </row>
    <row r="2" spans="1:13" ht="15" customHeight="1">
      <c r="A2" s="1" t="s">
        <v>38</v>
      </c>
      <c r="C2" s="8" t="s">
        <v>51</v>
      </c>
      <c r="D2" s="6" t="s">
        <v>67</v>
      </c>
      <c r="F2" s="8" t="s">
        <v>70</v>
      </c>
      <c r="G2" s="6" t="s">
        <v>67</v>
      </c>
    </row>
    <row r="3" spans="1:13" ht="15" customHeight="1">
      <c r="A3" s="5" t="s">
        <v>39</v>
      </c>
      <c r="B3" s="28"/>
      <c r="C3" s="29" t="s">
        <v>52</v>
      </c>
      <c r="D3" s="29">
        <v>50</v>
      </c>
      <c r="F3" s="29" t="s">
        <v>71</v>
      </c>
      <c r="G3" s="29">
        <v>50</v>
      </c>
    </row>
    <row r="4" spans="1:13" ht="15" customHeight="1">
      <c r="A4" s="1" t="s">
        <v>40</v>
      </c>
      <c r="C4" s="29" t="s">
        <v>53</v>
      </c>
      <c r="D4" s="29">
        <v>20</v>
      </c>
      <c r="E4" s="30"/>
      <c r="F4" s="29" t="s">
        <v>72</v>
      </c>
      <c r="G4" s="29">
        <v>30</v>
      </c>
    </row>
    <row r="5" spans="1:13" s="30" customFormat="1" ht="15" customHeight="1">
      <c r="A5" s="1" t="s">
        <v>41</v>
      </c>
      <c r="C5" s="29" t="s">
        <v>54</v>
      </c>
      <c r="D5" s="29">
        <v>60</v>
      </c>
      <c r="F5" s="29" t="s">
        <v>73</v>
      </c>
      <c r="G5" s="29">
        <v>10</v>
      </c>
    </row>
    <row r="6" spans="1:13" s="30" customFormat="1" ht="15" customHeight="1">
      <c r="A6" s="1" t="s">
        <v>10</v>
      </c>
      <c r="B6" s="31"/>
      <c r="C6" s="29" t="s">
        <v>55</v>
      </c>
      <c r="D6" s="32">
        <v>40</v>
      </c>
      <c r="F6" s="29" t="s">
        <v>74</v>
      </c>
      <c r="G6" s="32">
        <v>50</v>
      </c>
    </row>
    <row r="7" spans="1:13" s="30" customFormat="1" ht="15" customHeight="1">
      <c r="A7" s="1" t="s">
        <v>42</v>
      </c>
      <c r="C7" s="33" t="s">
        <v>56</v>
      </c>
      <c r="D7" s="34">
        <f>SUM(D3:D6)</f>
        <v>170</v>
      </c>
      <c r="F7" s="33" t="s">
        <v>56</v>
      </c>
      <c r="G7" s="34"/>
      <c r="M7" s="10"/>
    </row>
    <row r="8" spans="1:13" s="30" customFormat="1" ht="15" customHeight="1">
      <c r="A8" s="1" t="s">
        <v>11</v>
      </c>
      <c r="M8" s="10"/>
    </row>
    <row r="9" spans="1:13" s="30" customFormat="1" ht="15" customHeight="1">
      <c r="A9" s="1" t="s">
        <v>43</v>
      </c>
      <c r="C9" s="8" t="s">
        <v>57</v>
      </c>
      <c r="D9" s="6" t="s">
        <v>68</v>
      </c>
      <c r="F9" s="8" t="s">
        <v>57</v>
      </c>
      <c r="G9" s="6" t="s">
        <v>67</v>
      </c>
      <c r="M9" s="10"/>
    </row>
    <row r="10" spans="1:13" s="30" customFormat="1" ht="15" customHeight="1">
      <c r="A10" s="2" t="s">
        <v>44</v>
      </c>
      <c r="C10" s="29" t="s">
        <v>58</v>
      </c>
      <c r="D10" s="29">
        <v>50</v>
      </c>
      <c r="F10" s="29" t="s">
        <v>58</v>
      </c>
      <c r="G10" s="29">
        <v>50</v>
      </c>
      <c r="M10" s="10"/>
    </row>
    <row r="11" spans="1:13" s="30" customFormat="1" ht="15" customHeight="1">
      <c r="A11" s="1" t="s">
        <v>45</v>
      </c>
      <c r="C11" s="29" t="s">
        <v>59</v>
      </c>
      <c r="D11" s="29">
        <v>100</v>
      </c>
      <c r="F11" s="29" t="s">
        <v>59</v>
      </c>
      <c r="G11" s="29">
        <v>100</v>
      </c>
      <c r="M11" s="10"/>
    </row>
    <row r="12" spans="1:13" s="30" customFormat="1" ht="15" customHeight="1">
      <c r="A12" s="1" t="s">
        <v>46</v>
      </c>
      <c r="C12" s="29" t="s">
        <v>60</v>
      </c>
      <c r="D12" s="29">
        <v>40</v>
      </c>
      <c r="F12" s="29" t="s">
        <v>60</v>
      </c>
      <c r="G12" s="29">
        <v>40</v>
      </c>
      <c r="M12" s="10"/>
    </row>
    <row r="13" spans="1:13" s="30" customFormat="1" ht="15" customHeight="1">
      <c r="A13" s="5" t="s">
        <v>309</v>
      </c>
      <c r="C13" s="29" t="s">
        <v>61</v>
      </c>
      <c r="D13" s="29">
        <v>50</v>
      </c>
      <c r="F13" s="29" t="s">
        <v>61</v>
      </c>
      <c r="G13" s="29">
        <v>50</v>
      </c>
      <c r="M13" s="10"/>
    </row>
    <row r="14" spans="1:13" s="30" customFormat="1" ht="15" customHeight="1" thickBot="1">
      <c r="A14" s="125" t="s">
        <v>311</v>
      </c>
      <c r="C14" s="29" t="s">
        <v>62</v>
      </c>
      <c r="D14" s="29">
        <v>20</v>
      </c>
      <c r="F14" s="29" t="s">
        <v>62</v>
      </c>
      <c r="G14" s="29">
        <v>20</v>
      </c>
      <c r="M14" s="10"/>
    </row>
    <row r="15" spans="1:13" s="30" customFormat="1" ht="15" customHeight="1" thickTop="1" thickBot="1">
      <c r="A15" s="1" t="s">
        <v>23</v>
      </c>
      <c r="C15" s="33" t="s">
        <v>56</v>
      </c>
      <c r="D15" s="35"/>
      <c r="F15" s="33" t="s">
        <v>75</v>
      </c>
      <c r="G15" s="18"/>
      <c r="M15" s="10"/>
    </row>
    <row r="16" spans="1:13" s="30" customFormat="1" ht="15" customHeight="1" thickTop="1">
      <c r="A16" s="1" t="s">
        <v>47</v>
      </c>
      <c r="M16" s="10"/>
    </row>
    <row r="17" spans="1:13" s="30" customFormat="1" ht="15" customHeight="1">
      <c r="A17" s="1" t="s">
        <v>296</v>
      </c>
      <c r="M17" s="10"/>
    </row>
    <row r="18" spans="1:13" s="30" customFormat="1" ht="15" customHeight="1">
      <c r="A18" s="1" t="s">
        <v>48</v>
      </c>
      <c r="M18" s="10"/>
    </row>
    <row r="19" spans="1:13" s="30" customFormat="1" ht="15" customHeight="1">
      <c r="A19" s="1" t="s">
        <v>26</v>
      </c>
      <c r="C19" s="10"/>
      <c r="M19" s="10"/>
    </row>
    <row r="20" spans="1:13" s="30" customFormat="1" ht="15" customHeight="1">
      <c r="A20" s="1" t="s">
        <v>49</v>
      </c>
      <c r="M20" s="10"/>
    </row>
    <row r="21" spans="1:13" s="30" customFormat="1" ht="15" customHeight="1">
      <c r="A21" s="1" t="s">
        <v>11</v>
      </c>
      <c r="M21" s="10"/>
    </row>
    <row r="22" spans="1:13" s="30" customFormat="1" ht="15" customHeight="1">
      <c r="A22" s="1"/>
      <c r="M22" s="10"/>
    </row>
    <row r="23" spans="1:13" s="30" customFormat="1" ht="15" customHeight="1">
      <c r="A23" s="1"/>
    </row>
    <row r="26" spans="1:13" ht="15" customHeight="1">
      <c r="H26" s="10"/>
    </row>
    <row r="33" spans="3:7" ht="15" customHeight="1">
      <c r="F33" s="36"/>
      <c r="G33" s="36"/>
    </row>
    <row r="34" spans="3:7" ht="15" customHeight="1">
      <c r="C34" s="8" t="s">
        <v>51</v>
      </c>
      <c r="D34" s="6" t="s">
        <v>68</v>
      </c>
      <c r="F34" s="36"/>
      <c r="G34" s="36"/>
    </row>
    <row r="35" spans="3:7" ht="15" customHeight="1">
      <c r="C35" s="29" t="s">
        <v>52</v>
      </c>
      <c r="D35" s="29">
        <v>50</v>
      </c>
      <c r="E35" s="30"/>
      <c r="F35" s="36"/>
      <c r="G35" s="36"/>
    </row>
    <row r="36" spans="3:7" ht="15" customHeight="1">
      <c r="C36" s="29" t="s">
        <v>53</v>
      </c>
      <c r="D36" s="29">
        <v>20</v>
      </c>
      <c r="E36" s="30"/>
      <c r="F36" s="36"/>
      <c r="G36" s="36"/>
    </row>
    <row r="37" spans="3:7" ht="15" customHeight="1">
      <c r="C37" s="29" t="s">
        <v>54</v>
      </c>
      <c r="D37" s="29">
        <v>60</v>
      </c>
      <c r="E37" s="30"/>
      <c r="F37" s="36"/>
      <c r="G37" s="36"/>
    </row>
    <row r="38" spans="3:7" ht="15" customHeight="1">
      <c r="C38" s="29" t="s">
        <v>55</v>
      </c>
      <c r="D38" s="29">
        <v>40</v>
      </c>
      <c r="E38" s="30"/>
      <c r="F38" s="36"/>
      <c r="G38" s="36"/>
    </row>
    <row r="39" spans="3:7" ht="15" customHeight="1">
      <c r="C39" s="33" t="s">
        <v>56</v>
      </c>
      <c r="D39" s="35">
        <f>SUM(D35:D38)</f>
        <v>170</v>
      </c>
      <c r="E39" s="30"/>
      <c r="F39" s="30"/>
      <c r="G39" s="30"/>
    </row>
    <row r="44" spans="3:7" ht="15" customHeight="1">
      <c r="C44" s="8" t="s">
        <v>57</v>
      </c>
      <c r="D44" s="6" t="s">
        <v>68</v>
      </c>
      <c r="E44" s="30"/>
    </row>
    <row r="45" spans="3:7" ht="15" customHeight="1">
      <c r="C45" s="29" t="s">
        <v>63</v>
      </c>
      <c r="D45" s="29">
        <v>20</v>
      </c>
      <c r="E45" s="30"/>
    </row>
    <row r="46" spans="3:7" ht="15" customHeight="1">
      <c r="C46" s="29" t="s">
        <v>64</v>
      </c>
      <c r="D46" s="29">
        <v>10</v>
      </c>
      <c r="E46" s="30"/>
    </row>
    <row r="47" spans="3:7" ht="15" customHeight="1">
      <c r="C47" s="29" t="s">
        <v>65</v>
      </c>
      <c r="D47" s="29">
        <v>10</v>
      </c>
      <c r="E47" s="30"/>
    </row>
    <row r="48" spans="3:7" ht="15" customHeight="1">
      <c r="C48" s="29" t="s">
        <v>66</v>
      </c>
      <c r="D48" s="29">
        <v>40</v>
      </c>
      <c r="E48" s="30"/>
    </row>
    <row r="50" spans="4:7" ht="15" customHeight="1">
      <c r="D50" s="6" t="s">
        <v>69</v>
      </c>
      <c r="F50" s="6" t="s">
        <v>76</v>
      </c>
      <c r="G50" s="6" t="s">
        <v>77</v>
      </c>
    </row>
    <row r="51" spans="4:7" ht="15" customHeight="1">
      <c r="D51" s="37">
        <f>SUM(D45:D48,100)</f>
        <v>180</v>
      </c>
      <c r="F51" s="38">
        <v>100</v>
      </c>
      <c r="G51" s="38">
        <f>SUM(D45:D48,F51)</f>
        <v>180</v>
      </c>
    </row>
    <row r="79" spans="3:7" ht="15" customHeight="1">
      <c r="C79" s="36"/>
      <c r="D79" s="36"/>
      <c r="E79" s="36"/>
      <c r="F79" s="36"/>
      <c r="G79" s="36"/>
    </row>
    <row r="80" spans="3:7" ht="15" customHeight="1">
      <c r="C80" s="36"/>
      <c r="D80" s="36"/>
      <c r="E80" s="36"/>
      <c r="F80" s="36"/>
      <c r="G80" s="36"/>
    </row>
    <row r="81" spans="1:7" ht="15" customHeight="1">
      <c r="C81" s="36"/>
      <c r="D81" s="36"/>
      <c r="E81" s="36"/>
      <c r="F81" s="36"/>
      <c r="G81" s="36"/>
    </row>
    <row r="82" spans="1:7" ht="15" customHeight="1">
      <c r="C82" s="36"/>
      <c r="D82" s="36"/>
      <c r="E82" s="36"/>
      <c r="F82" s="36"/>
      <c r="G82" s="36"/>
    </row>
    <row r="83" spans="1:7" ht="15" customHeight="1">
      <c r="C83" s="36"/>
      <c r="D83" s="36"/>
      <c r="E83" s="36"/>
      <c r="F83" s="36"/>
      <c r="G83" s="36"/>
    </row>
    <row r="84" spans="1:7" ht="15" customHeight="1">
      <c r="C84" s="36"/>
      <c r="D84" s="36"/>
      <c r="E84" s="36"/>
      <c r="F84" s="36"/>
      <c r="G84" s="36"/>
    </row>
    <row r="85" spans="1:7" ht="15" customHeight="1">
      <c r="C85" s="36"/>
      <c r="D85" s="36"/>
      <c r="E85" s="36"/>
      <c r="F85" s="36"/>
      <c r="G85" s="36"/>
    </row>
    <row r="86" spans="1:7" ht="15" customHeight="1">
      <c r="C86" s="36"/>
      <c r="D86" s="36"/>
      <c r="E86" s="36"/>
      <c r="F86" s="36"/>
      <c r="G86" s="36"/>
    </row>
    <row r="87" spans="1:7" ht="15" customHeight="1">
      <c r="A87" s="1" t="s">
        <v>26</v>
      </c>
      <c r="C87" s="36"/>
      <c r="D87" s="36"/>
      <c r="E87" s="36"/>
      <c r="F87" s="36"/>
      <c r="G87" s="36"/>
    </row>
    <row r="88" spans="1:7" ht="15" customHeight="1">
      <c r="A88" s="1" t="s">
        <v>50</v>
      </c>
    </row>
  </sheetData>
  <phoneticPr fontId="7" type="noConversion"/>
  <hyperlinks>
    <hyperlink ref="A87" r:id="rId1" tooltip="选择此处，从网页上了解免费 Excel 在线培训概述" xr:uid="{00000000-0004-0000-0200-000000000000}"/>
  </hyperlinks>
  <pageMargins left="0.7" right="0.7" top="0.75" bottom="0.75" header="0.3" footer="0.3"/>
  <pageSetup paperSize="9"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8671875" defaultRowHeight="17.25"/>
  <cols>
    <col min="1" max="1" width="12.77734375" style="53" customWidth="1"/>
    <col min="2" max="2" width="65.77734375" style="40" customWidth="1"/>
    <col min="3" max="3" width="13.88671875" style="1" customWidth="1"/>
    <col min="4" max="4" width="13.33203125" style="40" customWidth="1"/>
    <col min="5" max="5" width="2.33203125" style="40" customWidth="1"/>
    <col min="6" max="6" width="13.88671875" style="47" customWidth="1"/>
    <col min="7" max="7" width="13.33203125" style="40" customWidth="1"/>
    <col min="8" max="16384" width="8.88671875" style="40"/>
  </cols>
  <sheetData>
    <row r="1" spans="1:10" ht="60" customHeight="1">
      <c r="A1" s="39" t="s">
        <v>78</v>
      </c>
      <c r="C1" s="11"/>
      <c r="D1" s="41"/>
      <c r="E1" s="41"/>
      <c r="F1" s="41"/>
      <c r="G1" s="41"/>
    </row>
    <row r="2" spans="1:10" ht="15" customHeight="1">
      <c r="A2" s="2" t="s">
        <v>275</v>
      </c>
      <c r="C2" s="8" t="s">
        <v>51</v>
      </c>
      <c r="D2" s="6" t="s">
        <v>67</v>
      </c>
      <c r="E2" s="42"/>
      <c r="F2" s="43" t="s">
        <v>70</v>
      </c>
      <c r="G2" s="6" t="s">
        <v>68</v>
      </c>
      <c r="J2" s="44"/>
    </row>
    <row r="3" spans="1:10" ht="15" customHeight="1">
      <c r="A3" s="2" t="s">
        <v>274</v>
      </c>
      <c r="C3" s="17" t="s">
        <v>52</v>
      </c>
      <c r="D3" s="45">
        <v>50</v>
      </c>
      <c r="E3" s="42"/>
      <c r="F3" s="46" t="s">
        <v>71</v>
      </c>
      <c r="G3" s="45">
        <v>50</v>
      </c>
      <c r="J3" s="44"/>
    </row>
    <row r="4" spans="1:10" ht="15" customHeight="1">
      <c r="A4" s="2" t="s">
        <v>276</v>
      </c>
      <c r="C4" s="17" t="s">
        <v>53</v>
      </c>
      <c r="D4" s="45">
        <v>20</v>
      </c>
      <c r="E4" s="42"/>
      <c r="F4" s="46" t="s">
        <v>72</v>
      </c>
      <c r="G4" s="45">
        <v>30</v>
      </c>
      <c r="J4" s="44"/>
    </row>
    <row r="5" spans="1:10" s="47" customFormat="1" ht="15" customHeight="1">
      <c r="A5" s="2" t="s">
        <v>304</v>
      </c>
      <c r="C5" s="17" t="s">
        <v>54</v>
      </c>
      <c r="D5" s="45">
        <v>60</v>
      </c>
      <c r="E5" s="42"/>
      <c r="F5" s="46" t="s">
        <v>73</v>
      </c>
      <c r="G5" s="45">
        <v>10</v>
      </c>
      <c r="J5" s="44"/>
    </row>
    <row r="6" spans="1:10" s="47" customFormat="1" ht="15" customHeight="1">
      <c r="A6" s="48" t="s">
        <v>79</v>
      </c>
      <c r="C6" s="17" t="s">
        <v>55</v>
      </c>
      <c r="D6" s="45">
        <v>40</v>
      </c>
      <c r="E6" s="42"/>
      <c r="F6" s="46" t="s">
        <v>74</v>
      </c>
      <c r="G6" s="45">
        <v>50</v>
      </c>
      <c r="J6" s="44"/>
    </row>
    <row r="7" spans="1:10" s="47" customFormat="1" ht="15" customHeight="1">
      <c r="A7" s="4" t="s">
        <v>80</v>
      </c>
      <c r="C7" s="49" t="s">
        <v>88</v>
      </c>
      <c r="D7" s="50"/>
      <c r="E7" s="42"/>
      <c r="F7" s="49" t="s">
        <v>88</v>
      </c>
      <c r="G7" s="50"/>
      <c r="J7" s="44"/>
    </row>
    <row r="8" spans="1:10" s="47" customFormat="1" ht="15" customHeight="1">
      <c r="A8" s="51" t="s">
        <v>81</v>
      </c>
      <c r="D8" s="42"/>
      <c r="E8" s="42"/>
      <c r="G8" s="42"/>
      <c r="J8" s="44"/>
    </row>
    <row r="9" spans="1:10" s="47" customFormat="1" ht="15" customHeight="1">
      <c r="A9" s="48" t="s">
        <v>82</v>
      </c>
      <c r="C9" s="8" t="s">
        <v>57</v>
      </c>
      <c r="D9" s="6" t="s">
        <v>67</v>
      </c>
      <c r="E9" s="42"/>
      <c r="F9" s="43" t="s">
        <v>57</v>
      </c>
      <c r="G9" s="6" t="s">
        <v>67</v>
      </c>
      <c r="J9" s="44"/>
    </row>
    <row r="10" spans="1:10" s="47" customFormat="1" ht="15" customHeight="1">
      <c r="A10" s="4" t="s">
        <v>83</v>
      </c>
      <c r="C10" s="17" t="s">
        <v>58</v>
      </c>
      <c r="D10" s="45">
        <v>50</v>
      </c>
      <c r="E10" s="42"/>
      <c r="F10" s="46" t="s">
        <v>58</v>
      </c>
      <c r="G10" s="45">
        <v>50</v>
      </c>
      <c r="J10" s="44"/>
    </row>
    <row r="11" spans="1:10" s="47" customFormat="1" ht="15" customHeight="1">
      <c r="A11" s="51" t="s">
        <v>84</v>
      </c>
      <c r="C11" s="17" t="s">
        <v>59</v>
      </c>
      <c r="D11" s="45">
        <v>100</v>
      </c>
      <c r="E11" s="42"/>
      <c r="F11" s="46" t="s">
        <v>59</v>
      </c>
      <c r="G11" s="45">
        <v>100</v>
      </c>
      <c r="J11" s="44"/>
    </row>
    <row r="12" spans="1:10" s="47" customFormat="1" ht="15" customHeight="1">
      <c r="A12" s="51" t="s">
        <v>85</v>
      </c>
      <c r="C12" s="17" t="s">
        <v>60</v>
      </c>
      <c r="D12" s="45">
        <v>40</v>
      </c>
      <c r="E12" s="42"/>
      <c r="F12" s="46" t="s">
        <v>60</v>
      </c>
      <c r="G12" s="45">
        <v>40</v>
      </c>
      <c r="J12" s="44"/>
    </row>
    <row r="13" spans="1:10" s="47" customFormat="1" ht="15" customHeight="1">
      <c r="A13" s="51" t="s">
        <v>86</v>
      </c>
      <c r="C13" s="17" t="s">
        <v>61</v>
      </c>
      <c r="D13" s="45">
        <v>50</v>
      </c>
      <c r="E13" s="42"/>
      <c r="F13" s="46" t="s">
        <v>61</v>
      </c>
      <c r="G13" s="45">
        <v>50</v>
      </c>
      <c r="J13" s="44"/>
    </row>
    <row r="14" spans="1:10" s="47" customFormat="1" ht="15" customHeight="1" thickBot="1">
      <c r="A14" s="51" t="s">
        <v>87</v>
      </c>
      <c r="C14" s="17" t="s">
        <v>62</v>
      </c>
      <c r="D14" s="45">
        <v>20</v>
      </c>
      <c r="E14" s="42"/>
      <c r="F14" s="46" t="s">
        <v>62</v>
      </c>
      <c r="G14" s="45">
        <v>20</v>
      </c>
    </row>
    <row r="15" spans="1:10" s="47" customFormat="1" ht="15" customHeight="1" thickTop="1" thickBot="1">
      <c r="A15" s="52"/>
      <c r="C15" s="49" t="s">
        <v>88</v>
      </c>
      <c r="D15" s="50"/>
      <c r="E15" s="42"/>
      <c r="G15" s="14"/>
    </row>
    <row r="16" spans="1:10" s="47" customFormat="1" ht="15" customHeight="1" thickTop="1">
      <c r="A16" s="51"/>
    </row>
    <row r="17" spans="1:3" s="47" customFormat="1" ht="15" customHeight="1">
      <c r="A17" s="51"/>
      <c r="C17" s="1"/>
    </row>
    <row r="18" spans="1:3" s="47" customFormat="1" ht="15" customHeight="1">
      <c r="A18" s="51"/>
      <c r="C18" s="1"/>
    </row>
    <row r="19" spans="1:3" s="47" customFormat="1" ht="15" customHeight="1">
      <c r="A19" s="51"/>
      <c r="C19" s="1"/>
    </row>
    <row r="20" spans="1:3" s="47" customFormat="1" ht="15" customHeight="1">
      <c r="A20" s="51"/>
      <c r="C20" s="1"/>
    </row>
    <row r="21" spans="1:3" s="47" customFormat="1" ht="15" customHeight="1">
      <c r="A21" s="51"/>
      <c r="C21" s="1"/>
    </row>
    <row r="22" spans="1:3" s="47" customFormat="1" ht="15" customHeight="1">
      <c r="A22" s="51"/>
      <c r="C22" s="1"/>
    </row>
    <row r="23" spans="1:3" s="47" customFormat="1" ht="15" customHeight="1">
      <c r="A23" s="51"/>
      <c r="C23" s="1"/>
    </row>
    <row r="24" spans="1:3" s="47" customFormat="1" ht="15" customHeight="1">
      <c r="A24" s="51"/>
      <c r="C24" s="1"/>
    </row>
    <row r="25" spans="1:3" s="47" customFormat="1" ht="15" customHeight="1">
      <c r="A25" s="51"/>
      <c r="C25" s="1"/>
    </row>
    <row r="26" spans="1:3" s="47" customFormat="1" ht="15" customHeight="1">
      <c r="A26" s="51"/>
      <c r="C26" s="1"/>
    </row>
    <row r="27" spans="1:3">
      <c r="A27" s="51"/>
    </row>
    <row r="28" spans="1:3">
      <c r="A28" s="51"/>
    </row>
    <row r="29" spans="1:3" ht="15" customHeight="1">
      <c r="A29" s="51"/>
      <c r="C29" s="1" t="s">
        <v>89</v>
      </c>
    </row>
    <row r="30" spans="1:3" ht="15" customHeight="1">
      <c r="A30" s="51"/>
      <c r="C30" s="1" t="s">
        <v>90</v>
      </c>
    </row>
    <row r="31" spans="1:3" ht="15" customHeight="1">
      <c r="A31" s="51"/>
      <c r="C31" s="1" t="s">
        <v>91</v>
      </c>
    </row>
    <row r="32" spans="1:3" ht="15" customHeight="1">
      <c r="A32" s="51"/>
      <c r="C32" s="1" t="s">
        <v>92</v>
      </c>
    </row>
    <row r="33" spans="1:9" ht="15" customHeight="1">
      <c r="A33" s="51"/>
      <c r="C33" s="1" t="s">
        <v>93</v>
      </c>
    </row>
    <row r="34" spans="1:9" ht="15" customHeight="1">
      <c r="A34" s="51"/>
      <c r="C34" s="1" t="s">
        <v>94</v>
      </c>
    </row>
    <row r="35" spans="1:9" ht="15" customHeight="1">
      <c r="A35" s="51"/>
      <c r="C35" s="1" t="s">
        <v>95</v>
      </c>
    </row>
    <row r="36" spans="1:9">
      <c r="A36" s="51"/>
    </row>
    <row r="41" spans="1:9" ht="15" customHeight="1">
      <c r="C41" s="1" t="s">
        <v>23</v>
      </c>
      <c r="E41" s="54"/>
      <c r="G41" s="54"/>
      <c r="H41" s="54"/>
      <c r="I41" s="54"/>
    </row>
    <row r="42" spans="1:9" ht="15" customHeight="1">
      <c r="C42" s="1" t="s">
        <v>47</v>
      </c>
      <c r="E42" s="54"/>
      <c r="G42" s="54"/>
      <c r="H42" s="54"/>
      <c r="I42" s="54"/>
    </row>
    <row r="43" spans="1:9" ht="15" customHeight="1">
      <c r="C43" s="1" t="s">
        <v>96</v>
      </c>
      <c r="E43" s="54"/>
      <c r="G43" s="54"/>
      <c r="H43" s="54"/>
      <c r="I43" s="54"/>
    </row>
    <row r="44" spans="1:9" ht="15" customHeight="1">
      <c r="C44" s="1" t="s">
        <v>24</v>
      </c>
      <c r="E44" s="54"/>
      <c r="G44" s="54"/>
      <c r="H44" s="54"/>
      <c r="I44" s="54"/>
    </row>
    <row r="45" spans="1:9" ht="15" customHeight="1">
      <c r="C45" s="1" t="s">
        <v>26</v>
      </c>
      <c r="E45" s="54"/>
      <c r="G45" s="54"/>
      <c r="H45" s="54"/>
      <c r="I45" s="54"/>
    </row>
    <row r="46" spans="1:9" ht="15" customHeight="1">
      <c r="C46" s="1" t="s">
        <v>50</v>
      </c>
    </row>
  </sheetData>
  <phoneticPr fontId="7" type="noConversion"/>
  <hyperlinks>
    <hyperlink ref="C42" r:id="rId1" tooltip="选择此处，从网页上了解有关 SUM 函数的全部内容" xr:uid="{00000000-0004-0000-0300-000000000000}"/>
    <hyperlink ref="C43" r:id="rId2" tooltip="选择此处，从网页上了解有关 SUMIF 函数的全部内容" xr:uid="{00000000-0004-0000-0300-000001000000}"/>
    <hyperlink ref="C44" r:id="rId3" tooltip="选择此处，从网页上了解如何使用 Excel 作为计算器" xr:uid="{00000000-0004-0000-0300-000002000000}"/>
    <hyperlink ref="C45" r:id="rId4" tooltip="选择此处，从网页上了解免费 Excel 在线培训概述" xr:uid="{00000000-0004-0000-0300-000003000000}"/>
  </hyperlinks>
  <pageMargins left="0.7" right="0.7" top="0.75" bottom="0.75" header="0.3" footer="0.3"/>
  <pageSetup paperSize="9" orientation="landscape"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8671875" defaultRowHeight="17.25"/>
  <cols>
    <col min="1" max="1" width="12.77734375" style="55" customWidth="1"/>
    <col min="2" max="2" width="65.77734375" style="40" customWidth="1"/>
    <col min="3" max="3" width="18.33203125" style="40" customWidth="1"/>
    <col min="4" max="4" width="13.33203125" style="47" customWidth="1"/>
    <col min="5" max="5" width="2.33203125" style="40" customWidth="1"/>
    <col min="6" max="7" width="13.33203125" style="40" customWidth="1"/>
    <col min="8" max="16384" width="8.88671875" style="40"/>
  </cols>
  <sheetData>
    <row r="1" spans="1:8" ht="60" customHeight="1">
      <c r="A1" s="55" t="s">
        <v>97</v>
      </c>
      <c r="C1" s="11"/>
      <c r="D1" s="41"/>
      <c r="E1" s="41"/>
      <c r="F1" s="41"/>
      <c r="G1" s="41"/>
    </row>
    <row r="2" spans="1:8" ht="15" customHeight="1">
      <c r="A2" s="4" t="s">
        <v>277</v>
      </c>
      <c r="C2" s="8" t="s">
        <v>51</v>
      </c>
      <c r="D2" s="6" t="s">
        <v>67</v>
      </c>
      <c r="E2" s="42"/>
      <c r="F2" s="43" t="s">
        <v>70</v>
      </c>
      <c r="G2" s="6" t="s">
        <v>68</v>
      </c>
      <c r="H2" s="44"/>
    </row>
    <row r="3" spans="1:8" ht="15" customHeight="1">
      <c r="A3" s="4" t="s">
        <v>273</v>
      </c>
      <c r="C3" s="17" t="s">
        <v>52</v>
      </c>
      <c r="D3" s="45">
        <v>50</v>
      </c>
      <c r="E3" s="42"/>
      <c r="F3" s="46" t="s">
        <v>71</v>
      </c>
      <c r="G3" s="45">
        <v>50</v>
      </c>
      <c r="H3" s="44"/>
    </row>
    <row r="4" spans="1:8" ht="15" customHeight="1">
      <c r="A4" s="56" t="s">
        <v>98</v>
      </c>
      <c r="C4" s="17" t="s">
        <v>53</v>
      </c>
      <c r="D4" s="45">
        <v>20</v>
      </c>
      <c r="E4" s="42"/>
      <c r="F4" s="46" t="s">
        <v>72</v>
      </c>
      <c r="G4" s="45">
        <v>30</v>
      </c>
      <c r="H4" s="44"/>
    </row>
    <row r="5" spans="1:8" s="47" customFormat="1" ht="15" customHeight="1">
      <c r="A5" s="56" t="s">
        <v>99</v>
      </c>
      <c r="C5" s="17" t="s">
        <v>54</v>
      </c>
      <c r="D5" s="45">
        <v>60</v>
      </c>
      <c r="E5" s="42"/>
      <c r="F5" s="46" t="s">
        <v>73</v>
      </c>
      <c r="G5" s="45">
        <v>10</v>
      </c>
      <c r="H5" s="44"/>
    </row>
    <row r="6" spans="1:8" s="47" customFormat="1" ht="15" customHeight="1">
      <c r="A6" s="56" t="s">
        <v>100</v>
      </c>
      <c r="C6" s="17" t="s">
        <v>55</v>
      </c>
      <c r="D6" s="45">
        <v>40</v>
      </c>
      <c r="E6" s="42"/>
      <c r="F6" s="46" t="s">
        <v>74</v>
      </c>
      <c r="G6" s="45">
        <v>50</v>
      </c>
      <c r="H6" s="44"/>
    </row>
    <row r="7" spans="1:8" s="47" customFormat="1" ht="15" customHeight="1">
      <c r="A7" s="57" t="s">
        <v>101</v>
      </c>
      <c r="C7" s="49" t="s">
        <v>105</v>
      </c>
      <c r="D7" s="50"/>
      <c r="E7" s="42"/>
      <c r="F7" s="49" t="s">
        <v>107</v>
      </c>
      <c r="G7" s="50"/>
      <c r="H7" s="44"/>
    </row>
    <row r="8" spans="1:8" s="47" customFormat="1" ht="15" customHeight="1">
      <c r="A8" s="51" t="s">
        <v>102</v>
      </c>
      <c r="D8" s="42"/>
      <c r="E8" s="42"/>
      <c r="G8" s="42"/>
      <c r="H8" s="44"/>
    </row>
    <row r="9" spans="1:8" s="47" customFormat="1" ht="15" customHeight="1">
      <c r="A9" s="51" t="s">
        <v>103</v>
      </c>
      <c r="C9" s="8" t="s">
        <v>57</v>
      </c>
      <c r="D9" s="6" t="s">
        <v>67</v>
      </c>
      <c r="E9" s="42"/>
      <c r="F9" s="43" t="s">
        <v>57</v>
      </c>
      <c r="G9" s="6" t="s">
        <v>67</v>
      </c>
      <c r="H9" s="44"/>
    </row>
    <row r="10" spans="1:8" s="47" customFormat="1" ht="15" customHeight="1">
      <c r="A10" s="4" t="s">
        <v>26</v>
      </c>
      <c r="C10" s="17" t="s">
        <v>58</v>
      </c>
      <c r="D10" s="45">
        <v>50</v>
      </c>
      <c r="E10" s="42"/>
      <c r="F10" s="46" t="s">
        <v>58</v>
      </c>
      <c r="G10" s="45">
        <v>50</v>
      </c>
      <c r="H10" s="44"/>
    </row>
    <row r="11" spans="1:8" s="47" customFormat="1" ht="15" customHeight="1">
      <c r="A11" s="57" t="s">
        <v>104</v>
      </c>
      <c r="C11" s="17" t="s">
        <v>59</v>
      </c>
      <c r="D11" s="45">
        <v>100</v>
      </c>
      <c r="E11" s="42"/>
      <c r="F11" s="46" t="s">
        <v>59</v>
      </c>
      <c r="G11" s="45">
        <v>100</v>
      </c>
      <c r="H11" s="44"/>
    </row>
    <row r="12" spans="1:8" s="47" customFormat="1" ht="15" customHeight="1">
      <c r="A12" s="51"/>
      <c r="C12" s="17" t="s">
        <v>60</v>
      </c>
      <c r="D12" s="45">
        <v>40</v>
      </c>
      <c r="E12" s="42"/>
      <c r="F12" s="46" t="s">
        <v>60</v>
      </c>
      <c r="G12" s="45">
        <v>40</v>
      </c>
      <c r="H12" s="44"/>
    </row>
    <row r="13" spans="1:8" s="47" customFormat="1" ht="15" customHeight="1">
      <c r="A13" s="51"/>
      <c r="C13" s="17" t="s">
        <v>61</v>
      </c>
      <c r="D13" s="45">
        <v>50</v>
      </c>
      <c r="E13" s="42"/>
      <c r="F13" s="46" t="s">
        <v>61</v>
      </c>
      <c r="G13" s="45">
        <v>50</v>
      </c>
      <c r="H13" s="44"/>
    </row>
    <row r="14" spans="1:8" s="47" customFormat="1" ht="15" customHeight="1">
      <c r="A14" s="51"/>
      <c r="C14" s="17" t="s">
        <v>62</v>
      </c>
      <c r="D14" s="45">
        <v>20</v>
      </c>
      <c r="E14" s="42"/>
      <c r="F14" s="46" t="s">
        <v>62</v>
      </c>
      <c r="G14" s="45">
        <v>20</v>
      </c>
    </row>
    <row r="15" spans="1:8" s="47" customFormat="1" ht="15" customHeight="1">
      <c r="A15" s="55"/>
      <c r="C15" s="49" t="s">
        <v>106</v>
      </c>
      <c r="D15" s="50"/>
      <c r="E15" s="42"/>
      <c r="F15" s="49"/>
      <c r="G15" s="50">
        <f>MIN(G10:G14,10)</f>
        <v>10</v>
      </c>
    </row>
    <row r="16" spans="1:8" s="47" customFormat="1" ht="15" customHeight="1">
      <c r="A16" s="55"/>
    </row>
    <row r="17" spans="1:1" s="47" customFormat="1" ht="15" customHeight="1">
      <c r="A17" s="55"/>
    </row>
    <row r="18" spans="1:1" s="47" customFormat="1" ht="15" customHeight="1">
      <c r="A18" s="58"/>
    </row>
    <row r="19" spans="1:1" s="47" customFormat="1" ht="15" customHeight="1">
      <c r="A19" s="4" t="s">
        <v>278</v>
      </c>
    </row>
    <row r="20" spans="1:1" s="47" customFormat="1" ht="15" customHeight="1">
      <c r="A20" s="55"/>
    </row>
    <row r="21" spans="1:1" s="47" customFormat="1" ht="15" customHeight="1">
      <c r="A21" s="4" t="s">
        <v>23</v>
      </c>
    </row>
    <row r="22" spans="1:1" s="47" customFormat="1" ht="15" customHeight="1">
      <c r="A22" s="4" t="s">
        <v>279</v>
      </c>
    </row>
    <row r="23" spans="1:1" s="47" customFormat="1" ht="15" customHeight="1">
      <c r="A23" s="4" t="s">
        <v>280</v>
      </c>
    </row>
    <row r="24" spans="1:1" s="47" customFormat="1" ht="15" customHeight="1">
      <c r="A24" s="4" t="s">
        <v>24</v>
      </c>
    </row>
    <row r="25" spans="1:1" s="47" customFormat="1" ht="15" customHeight="1">
      <c r="A25" s="4" t="s">
        <v>26</v>
      </c>
    </row>
    <row r="27" spans="1:1" ht="15" customHeight="1"/>
    <row r="28" spans="1:1" ht="15" customHeight="1"/>
    <row r="29" spans="1:1" ht="15" customHeight="1"/>
    <row r="30" spans="1:1" ht="15" customHeight="1"/>
    <row r="31" spans="1:1" ht="15" customHeight="1"/>
    <row r="32" spans="1:1" ht="15" customHeight="1"/>
    <row r="33" spans="3:7" ht="15" customHeight="1"/>
    <row r="39" spans="3:7" ht="15" customHeight="1">
      <c r="C39" s="54"/>
      <c r="E39" s="54"/>
      <c r="F39" s="54"/>
      <c r="G39" s="54"/>
    </row>
    <row r="40" spans="3:7" ht="15" customHeight="1">
      <c r="C40" s="54"/>
      <c r="E40" s="54"/>
      <c r="F40" s="54"/>
      <c r="G40" s="54"/>
    </row>
    <row r="41" spans="3:7" ht="15" customHeight="1">
      <c r="C41" s="54"/>
      <c r="E41" s="54"/>
      <c r="F41" s="54"/>
      <c r="G41" s="54"/>
    </row>
    <row r="42" spans="3:7" ht="15" customHeight="1">
      <c r="C42" s="54"/>
      <c r="E42" s="54"/>
      <c r="F42" s="54"/>
      <c r="G42" s="54"/>
    </row>
    <row r="43" spans="3:7" ht="15" customHeight="1">
      <c r="C43" s="54"/>
      <c r="E43" s="54"/>
      <c r="F43" s="54"/>
      <c r="G43" s="54"/>
    </row>
    <row r="44" spans="3:7" ht="15" customHeight="1"/>
  </sheetData>
  <phoneticPr fontId="7" type="noConversion"/>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47"/>
  <sheetViews>
    <sheetView showGridLines="0" showZeros="0" workbookViewId="0"/>
  </sheetViews>
  <sheetFormatPr defaultRowHeight="16.5"/>
  <cols>
    <col min="1" max="1" width="12.77734375" style="10" customWidth="1"/>
    <col min="2" max="2" width="65.77734375" style="10" customWidth="1"/>
    <col min="3" max="3" width="23.109375" style="10" customWidth="1"/>
    <col min="4" max="4" width="17.88671875" style="10" customWidth="1"/>
    <col min="5" max="16384" width="8.88671875" style="10"/>
  </cols>
  <sheetData>
    <row r="1" spans="1:7" ht="60" customHeight="1">
      <c r="A1" s="2" t="s">
        <v>108</v>
      </c>
    </row>
    <row r="2" spans="1:7">
      <c r="A2" s="2" t="s">
        <v>109</v>
      </c>
      <c r="G2" s="2"/>
    </row>
    <row r="3" spans="1:7" ht="30">
      <c r="A3" s="2" t="s">
        <v>110</v>
      </c>
      <c r="C3" s="11"/>
      <c r="D3" s="12"/>
    </row>
    <row r="4" spans="1:7" ht="16.5" customHeight="1">
      <c r="A4" s="3" t="s">
        <v>283</v>
      </c>
    </row>
    <row r="5" spans="1:7" ht="16.5" customHeight="1">
      <c r="A5" s="2" t="s">
        <v>111</v>
      </c>
      <c r="C5" s="59" t="s">
        <v>108</v>
      </c>
      <c r="D5" s="59"/>
    </row>
    <row r="6" spans="1:7" ht="16.5" customHeight="1">
      <c r="A6" s="3" t="s">
        <v>307</v>
      </c>
      <c r="C6" s="17" t="s">
        <v>118</v>
      </c>
      <c r="D6" s="106"/>
      <c r="F6" s="60" t="str">
        <f ca="1">IF(D6=TODAY(),"明白了!","")</f>
        <v/>
      </c>
    </row>
    <row r="7" spans="1:7" ht="16.5" customHeight="1" thickBot="1">
      <c r="A7" s="3" t="s">
        <v>112</v>
      </c>
      <c r="C7" s="17" t="s">
        <v>119</v>
      </c>
      <c r="D7" s="106"/>
    </row>
    <row r="8" spans="1:7" ht="16.5" customHeight="1" thickTop="1" thickBot="1">
      <c r="A8" s="2" t="s">
        <v>113</v>
      </c>
      <c r="C8" s="17" t="s">
        <v>120</v>
      </c>
      <c r="D8" s="61">
        <f>D7-D6</f>
        <v>0</v>
      </c>
    </row>
    <row r="9" spans="1:7" ht="17.25" thickTop="1">
      <c r="A9" s="2" t="s">
        <v>114</v>
      </c>
    </row>
    <row r="10" spans="1:7" ht="15" customHeight="1" thickBot="1">
      <c r="A10" s="3" t="s">
        <v>288</v>
      </c>
      <c r="C10" s="17" t="s">
        <v>121</v>
      </c>
      <c r="D10" s="62"/>
    </row>
    <row r="11" spans="1:7" ht="15" customHeight="1" thickTop="1" thickBot="1">
      <c r="A11" s="3" t="s">
        <v>289</v>
      </c>
      <c r="C11" s="17" t="s">
        <v>122</v>
      </c>
      <c r="D11" s="107">
        <f>D6+D10</f>
        <v>0</v>
      </c>
    </row>
    <row r="12" spans="1:7" ht="17.25" thickTop="1">
      <c r="A12" s="2" t="s">
        <v>282</v>
      </c>
    </row>
    <row r="13" spans="1:7">
      <c r="A13" s="2" t="s">
        <v>21</v>
      </c>
    </row>
    <row r="14" spans="1:7">
      <c r="A14" s="2" t="s">
        <v>22</v>
      </c>
    </row>
    <row r="15" spans="1:7">
      <c r="A15" s="2" t="s">
        <v>23</v>
      </c>
    </row>
    <row r="16" spans="1:7">
      <c r="A16" s="2" t="s">
        <v>115</v>
      </c>
    </row>
    <row r="17" spans="1:4">
      <c r="A17" s="2" t="s">
        <v>116</v>
      </c>
    </row>
    <row r="18" spans="1:4">
      <c r="A18" s="2" t="s">
        <v>117</v>
      </c>
    </row>
    <row r="19" spans="1:4">
      <c r="A19" s="2" t="s">
        <v>26</v>
      </c>
    </row>
    <row r="25" spans="1:4" ht="15" customHeight="1">
      <c r="C25" s="11"/>
      <c r="D25" s="12"/>
    </row>
    <row r="27" spans="1:4">
      <c r="C27" s="59" t="s">
        <v>113</v>
      </c>
      <c r="D27" s="59"/>
    </row>
    <row r="28" spans="1:4">
      <c r="C28" s="17" t="s">
        <v>123</v>
      </c>
      <c r="D28" s="119"/>
    </row>
    <row r="31" spans="1:4">
      <c r="C31" s="59" t="s">
        <v>124</v>
      </c>
      <c r="D31" s="59"/>
    </row>
    <row r="32" spans="1:4">
      <c r="C32" s="17" t="s">
        <v>125</v>
      </c>
      <c r="D32" s="120">
        <v>0.33333333333333331</v>
      </c>
    </row>
    <row r="33" spans="3:4">
      <c r="C33" s="17" t="s">
        <v>126</v>
      </c>
      <c r="D33" s="120">
        <v>0.5</v>
      </c>
    </row>
    <row r="34" spans="3:4">
      <c r="C34" s="17" t="s">
        <v>127</v>
      </c>
      <c r="D34" s="120">
        <v>0.54166666666666663</v>
      </c>
    </row>
    <row r="35" spans="3:4" ht="17.25" thickBot="1">
      <c r="C35" s="17" t="s">
        <v>128</v>
      </c>
      <c r="D35" s="120">
        <v>0.70833333333333337</v>
      </c>
    </row>
    <row r="36" spans="3:4" ht="18" thickTop="1" thickBot="1">
      <c r="C36" s="17" t="s">
        <v>129</v>
      </c>
      <c r="D36" s="61">
        <f>((D35-D32)-(D34-D33))*24</f>
        <v>8.0000000000000018</v>
      </c>
    </row>
    <row r="37" spans="3:4" ht="17.25" thickTop="1"/>
    <row r="45" spans="3:4">
      <c r="C45" s="59" t="s">
        <v>130</v>
      </c>
      <c r="D45" s="59"/>
    </row>
    <row r="46" spans="3:4">
      <c r="C46" s="122" t="s">
        <v>291</v>
      </c>
      <c r="D46" s="108">
        <v>43159</v>
      </c>
    </row>
    <row r="47" spans="3:4">
      <c r="C47" s="17" t="s">
        <v>131</v>
      </c>
      <c r="D47" s="121">
        <v>0.36944444444444446</v>
      </c>
    </row>
  </sheetData>
  <phoneticPr fontId="7" type="noConversion"/>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G37"/>
  <sheetViews>
    <sheetView showGridLines="0" zoomScaleNormal="100" workbookViewId="0"/>
  </sheetViews>
  <sheetFormatPr defaultRowHeight="16.5"/>
  <cols>
    <col min="1" max="1" width="12.77734375" style="2" customWidth="1"/>
    <col min="2" max="2" width="65.77734375" style="10" customWidth="1"/>
    <col min="3" max="3" width="16.33203125" style="10" customWidth="1"/>
    <col min="4" max="4" width="17.21875" style="10" customWidth="1"/>
    <col min="5" max="5" width="21.109375" style="10" customWidth="1"/>
    <col min="6" max="6" width="18.33203125" style="10" customWidth="1"/>
    <col min="7" max="16384" width="8.88671875" style="10"/>
  </cols>
  <sheetData>
    <row r="1" spans="1:7" ht="60" customHeight="1">
      <c r="A1" s="2" t="s">
        <v>132</v>
      </c>
      <c r="C1" s="11"/>
      <c r="D1" s="12"/>
      <c r="E1" s="12"/>
      <c r="F1" s="12"/>
    </row>
    <row r="2" spans="1:7">
      <c r="A2" s="2" t="s">
        <v>133</v>
      </c>
      <c r="C2" s="8" t="s">
        <v>292</v>
      </c>
      <c r="D2" s="8" t="s">
        <v>142</v>
      </c>
      <c r="E2" s="8" t="s">
        <v>162</v>
      </c>
      <c r="F2" s="8" t="s">
        <v>163</v>
      </c>
      <c r="G2" s="2"/>
    </row>
    <row r="3" spans="1:7">
      <c r="A3" s="2" t="s">
        <v>134</v>
      </c>
      <c r="C3" s="17" t="s">
        <v>143</v>
      </c>
      <c r="D3" s="17" t="s">
        <v>154</v>
      </c>
      <c r="E3" s="62" t="str">
        <f>D3&amp;", "&amp;C3</f>
        <v>Smith, Nancy</v>
      </c>
      <c r="F3" s="63" t="str">
        <f>C3&amp;" "&amp;D3</f>
        <v>Nancy Smith</v>
      </c>
    </row>
    <row r="4" spans="1:7">
      <c r="A4" s="2" t="s">
        <v>135</v>
      </c>
      <c r="C4" s="17" t="s">
        <v>144</v>
      </c>
      <c r="D4" s="17" t="s">
        <v>155</v>
      </c>
      <c r="E4" s="62"/>
      <c r="F4" s="63"/>
    </row>
    <row r="5" spans="1:7">
      <c r="A5" s="2" t="s">
        <v>136</v>
      </c>
      <c r="C5" s="17" t="s">
        <v>145</v>
      </c>
      <c r="D5" s="17" t="s">
        <v>156</v>
      </c>
      <c r="E5" s="62"/>
      <c r="F5" s="63"/>
    </row>
    <row r="6" spans="1:7">
      <c r="A6" s="2" t="s">
        <v>10</v>
      </c>
      <c r="C6" s="17" t="s">
        <v>146</v>
      </c>
      <c r="D6" s="17" t="s">
        <v>157</v>
      </c>
      <c r="E6" s="62"/>
      <c r="F6" s="63"/>
    </row>
    <row r="7" spans="1:7">
      <c r="A7" s="19" t="s">
        <v>22</v>
      </c>
      <c r="C7" s="17" t="s">
        <v>147</v>
      </c>
      <c r="D7" s="17" t="s">
        <v>158</v>
      </c>
      <c r="E7" s="62"/>
      <c r="F7" s="63"/>
    </row>
    <row r="8" spans="1:7">
      <c r="A8" s="2" t="s">
        <v>137</v>
      </c>
      <c r="C8" s="17" t="s">
        <v>148</v>
      </c>
      <c r="D8" s="17" t="s">
        <v>159</v>
      </c>
      <c r="E8" s="62"/>
      <c r="F8" s="63"/>
    </row>
    <row r="9" spans="1:7">
      <c r="A9" s="2" t="s">
        <v>138</v>
      </c>
      <c r="C9" s="17" t="s">
        <v>149</v>
      </c>
      <c r="D9" s="17" t="s">
        <v>160</v>
      </c>
      <c r="E9" s="62"/>
      <c r="F9" s="63"/>
    </row>
    <row r="10" spans="1:7" ht="16.5" customHeight="1">
      <c r="A10" s="3" t="s">
        <v>293</v>
      </c>
      <c r="C10" s="17" t="s">
        <v>150</v>
      </c>
      <c r="D10" s="17" t="s">
        <v>161</v>
      </c>
      <c r="E10" s="62"/>
      <c r="F10" s="63"/>
    </row>
    <row r="11" spans="1:7" ht="16.5" customHeight="1">
      <c r="A11" s="3" t="s">
        <v>294</v>
      </c>
    </row>
    <row r="12" spans="1:7" ht="16.5" customHeight="1">
      <c r="A12" s="3" t="s">
        <v>306</v>
      </c>
    </row>
    <row r="13" spans="1:7">
      <c r="A13" s="2" t="s">
        <v>139</v>
      </c>
    </row>
    <row r="14" spans="1:7">
      <c r="A14" s="2" t="s">
        <v>23</v>
      </c>
    </row>
    <row r="15" spans="1:7">
      <c r="A15" s="2" t="s">
        <v>140</v>
      </c>
    </row>
    <row r="16" spans="1:7">
      <c r="A16" s="2" t="s">
        <v>141</v>
      </c>
    </row>
    <row r="17" spans="1:4">
      <c r="A17" s="2" t="s">
        <v>26</v>
      </c>
    </row>
    <row r="21" spans="1:4">
      <c r="D21" s="64"/>
    </row>
    <row r="27" spans="1:4">
      <c r="C27" s="59" t="s">
        <v>151</v>
      </c>
      <c r="D27" s="59"/>
    </row>
    <row r="28" spans="1:4">
      <c r="C28" s="17" t="s">
        <v>118</v>
      </c>
      <c r="D28" s="106">
        <f ca="1">TODAY()</f>
        <v>43189</v>
      </c>
    </row>
    <row r="29" spans="1:4">
      <c r="C29" s="17" t="s">
        <v>123</v>
      </c>
      <c r="D29" s="119">
        <f ca="1">NOW()</f>
        <v>43189.410972453705</v>
      </c>
    </row>
    <row r="31" spans="1:4">
      <c r="C31" s="59" t="s">
        <v>152</v>
      </c>
      <c r="D31" s="59"/>
    </row>
    <row r="32" spans="1:4">
      <c r="C32" s="17" t="str">
        <f ca="1">C28&amp;" "&amp;D28</f>
        <v>当前日期： 43189</v>
      </c>
      <c r="D32" s="17"/>
    </row>
    <row r="33" spans="3:4">
      <c r="C33" s="17" t="str">
        <f ca="1">C29&amp;" "&amp;D29</f>
        <v>当前时间： 43189.4109724537</v>
      </c>
      <c r="D33" s="17"/>
    </row>
    <row r="35" spans="3:4">
      <c r="C35" s="59" t="s">
        <v>153</v>
      </c>
      <c r="D35" s="59"/>
    </row>
    <row r="36" spans="3:4">
      <c r="C36" s="63" t="str">
        <f ca="1">C28 &amp;" "&amp; TEXT(D28,"YYYY年M月D日")</f>
        <v>当前日期： 2018年3月30日</v>
      </c>
      <c r="D36" s="63"/>
    </row>
    <row r="37" spans="3:4">
      <c r="C37" s="63" t="str">
        <f ca="1">C29&amp;" "&amp;TEXT(D29,"H:MM")</f>
        <v>当前时间： 9:51</v>
      </c>
      <c r="D37" s="63"/>
    </row>
  </sheetData>
  <phoneticPr fontId="7" type="noConversion"/>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37"/>
  <sheetViews>
    <sheetView showGridLines="0" workbookViewId="0"/>
  </sheetViews>
  <sheetFormatPr defaultRowHeight="16.5"/>
  <cols>
    <col min="1" max="1" width="12.77734375" style="10" customWidth="1"/>
    <col min="2" max="2" width="65.77734375" style="10" customWidth="1"/>
    <col min="3" max="3" width="17.21875" style="10" customWidth="1"/>
    <col min="4" max="4" width="26.33203125" style="10" customWidth="1"/>
    <col min="5" max="6" width="9.77734375" style="10" customWidth="1"/>
    <col min="7" max="16384" width="8.88671875" style="10"/>
  </cols>
  <sheetData>
    <row r="1" spans="1:7" ht="60" customHeight="1">
      <c r="A1" s="2" t="s">
        <v>164</v>
      </c>
      <c r="D1" s="12"/>
    </row>
    <row r="2" spans="1:7">
      <c r="A2" s="2" t="s">
        <v>165</v>
      </c>
      <c r="E2" s="65"/>
      <c r="F2" s="65"/>
      <c r="G2" s="2"/>
    </row>
    <row r="3" spans="1:7" ht="15" customHeight="1">
      <c r="A3" s="3" t="s">
        <v>166</v>
      </c>
      <c r="E3" s="65"/>
      <c r="F3" s="65"/>
    </row>
    <row r="4" spans="1:7" ht="15" customHeight="1">
      <c r="A4" s="3" t="s">
        <v>167</v>
      </c>
      <c r="E4" s="65"/>
      <c r="F4" s="65"/>
    </row>
    <row r="5" spans="1:7" ht="15" customHeight="1">
      <c r="A5" s="3" t="s">
        <v>312</v>
      </c>
      <c r="C5" s="66"/>
      <c r="D5" s="67"/>
      <c r="E5" s="65"/>
      <c r="F5" s="65"/>
    </row>
    <row r="6" spans="1:7" ht="15" customHeight="1">
      <c r="A6" s="3" t="s">
        <v>313</v>
      </c>
      <c r="C6" s="67"/>
      <c r="D6" s="67"/>
      <c r="E6" s="65"/>
      <c r="F6" s="65"/>
    </row>
    <row r="7" spans="1:7">
      <c r="A7" s="2" t="s">
        <v>10</v>
      </c>
      <c r="C7" s="65"/>
      <c r="D7" s="65"/>
      <c r="E7" s="65"/>
      <c r="F7" s="65"/>
    </row>
    <row r="8" spans="1:7">
      <c r="A8" s="2" t="s">
        <v>22</v>
      </c>
      <c r="C8" s="68" t="s">
        <v>164</v>
      </c>
      <c r="D8" s="68"/>
    </row>
    <row r="9" spans="1:7">
      <c r="A9" s="2" t="s">
        <v>168</v>
      </c>
      <c r="C9" s="69" t="s">
        <v>52</v>
      </c>
      <c r="D9" s="109"/>
    </row>
    <row r="10" spans="1:7">
      <c r="A10" s="19" t="s">
        <v>169</v>
      </c>
      <c r="C10" s="69" t="s">
        <v>53</v>
      </c>
      <c r="D10" s="109"/>
    </row>
    <row r="11" spans="1:7" ht="15" customHeight="1" thickBot="1">
      <c r="A11" s="3" t="s">
        <v>308</v>
      </c>
      <c r="C11" s="65"/>
      <c r="D11" s="65"/>
    </row>
    <row r="12" spans="1:7" ht="15" customHeight="1" thickTop="1" thickBot="1">
      <c r="A12" s="3" t="s">
        <v>284</v>
      </c>
      <c r="C12" s="71">
        <v>50</v>
      </c>
      <c r="D12" s="70" t="str">
        <f>IF(C12&lt;100,"小于 100","大于或等于 100")</f>
        <v>小于 100</v>
      </c>
    </row>
    <row r="13" spans="1:7" ht="15" customHeight="1" thickTop="1">
      <c r="A13" s="3" t="s">
        <v>170</v>
      </c>
    </row>
    <row r="14" spans="1:7">
      <c r="A14" s="2" t="s">
        <v>171</v>
      </c>
    </row>
    <row r="15" spans="1:7" ht="15" customHeight="1">
      <c r="A15" s="3" t="s">
        <v>172</v>
      </c>
    </row>
    <row r="16" spans="1:7">
      <c r="A16" s="2" t="s">
        <v>21</v>
      </c>
    </row>
    <row r="17" spans="1:6">
      <c r="A17" s="2" t="s">
        <v>22</v>
      </c>
    </row>
    <row r="18" spans="1:6">
      <c r="A18" s="2" t="s">
        <v>23</v>
      </c>
      <c r="C18" s="64"/>
    </row>
    <row r="19" spans="1:6">
      <c r="A19" s="2" t="s">
        <v>173</v>
      </c>
    </row>
    <row r="20" spans="1:6">
      <c r="A20" s="2" t="s">
        <v>174</v>
      </c>
    </row>
    <row r="21" spans="1:6">
      <c r="A21" s="2" t="s">
        <v>175</v>
      </c>
    </row>
    <row r="22" spans="1:6">
      <c r="A22" s="2" t="s">
        <v>26</v>
      </c>
    </row>
    <row r="26" spans="1:6" ht="17.25" thickBot="1"/>
    <row r="27" spans="1:6" ht="17.25" thickBot="1">
      <c r="C27" s="72" t="s">
        <v>57</v>
      </c>
      <c r="D27" s="73" t="s">
        <v>67</v>
      </c>
      <c r="E27" s="73" t="s">
        <v>182</v>
      </c>
      <c r="F27" s="73" t="s">
        <v>181</v>
      </c>
    </row>
    <row r="28" spans="1:6">
      <c r="C28" s="74" t="s">
        <v>176</v>
      </c>
      <c r="D28" s="74">
        <v>2</v>
      </c>
      <c r="E28" s="110">
        <v>9.7607115856835538</v>
      </c>
      <c r="F28" s="110">
        <f>'IF 语句'!$E$28:$E$29*'IF 语句'!$D$28:$D$29</f>
        <v>19.521423171367108</v>
      </c>
    </row>
    <row r="29" spans="1:6" ht="17.25" thickBot="1">
      <c r="C29" s="75" t="s">
        <v>177</v>
      </c>
      <c r="D29" s="75">
        <v>3</v>
      </c>
      <c r="E29" s="111">
        <v>3.4189202461080024</v>
      </c>
      <c r="F29" s="111">
        <f>'IF 语句'!$E$28:$E$29*'IF 语句'!$D$28:$D$29</f>
        <v>10.256760738324008</v>
      </c>
    </row>
    <row r="30" spans="1:6">
      <c r="C30" s="65"/>
      <c r="D30" s="65"/>
      <c r="E30" s="65"/>
      <c r="F30" s="65"/>
    </row>
    <row r="31" spans="1:6">
      <c r="C31" s="65"/>
      <c r="D31" s="65" t="s">
        <v>178</v>
      </c>
      <c r="E31" s="112">
        <f>SUM('IF 语句'!$E$28:$E$29)</f>
        <v>13.179631831791557</v>
      </c>
      <c r="F31" s="112">
        <f>SUM('IF 语句'!F28:F29)</f>
        <v>29.778183909691116</v>
      </c>
    </row>
    <row r="32" spans="1:6" ht="17.25" thickBot="1">
      <c r="C32" s="65"/>
      <c r="D32" s="65"/>
      <c r="E32" s="65"/>
      <c r="F32" s="65"/>
    </row>
    <row r="33" spans="3:6" ht="18" thickTop="1" thickBot="1">
      <c r="C33" s="65"/>
      <c r="D33" s="65" t="s">
        <v>179</v>
      </c>
      <c r="E33" s="71" t="s">
        <v>183</v>
      </c>
      <c r="F33" s="113">
        <f>IF(E33="是",F31*销售税,0)</f>
        <v>2.456700172549517</v>
      </c>
    </row>
    <row r="34" spans="3:6" ht="18" thickTop="1" thickBot="1">
      <c r="C34" s="65"/>
      <c r="D34" s="65"/>
      <c r="E34" s="65"/>
      <c r="F34" s="65"/>
    </row>
    <row r="35" spans="3:6" ht="18" thickTop="1" thickBot="1">
      <c r="C35" s="65"/>
      <c r="D35" s="65" t="s">
        <v>180</v>
      </c>
      <c r="E35" s="71" t="s">
        <v>183</v>
      </c>
      <c r="F35" s="113">
        <f>IF(E35="是",SUM(D28:D29)*1.25,0)</f>
        <v>6.25</v>
      </c>
    </row>
    <row r="36" spans="3:6" ht="17.25" thickTop="1"/>
    <row r="37" spans="3:6">
      <c r="D37" s="65" t="s">
        <v>181</v>
      </c>
      <c r="E37" s="65"/>
      <c r="F37" s="112">
        <f>SUM(F33,F31,F35)</f>
        <v>38.484884082240633</v>
      </c>
    </row>
  </sheetData>
  <phoneticPr fontId="7" type="noConversion"/>
  <dataValidations count="1">
    <dataValidation type="list" allowBlank="1" showInputMessage="1" showErrorMessage="1" sqref="E33 E35" xr:uid="{00000000-0002-0000-0700-000000000000}">
      <formula1>"是, 否"</formula1>
    </dataValidation>
  </dataValidations>
  <hyperlinks>
    <hyperlink ref="M25" r:id="rId1" display="https://support.office.com/zh-cn/article/IF-function-69AED7C9-4E8A-4755-A9BC-AA8BBFF73BE2" xr:uid="{00000000-0004-0000-0700-000000000000}"/>
  </hyperlinks>
  <pageMargins left="0.7" right="0.7" top="0.75" bottom="0.75" header="0.3" footer="0.3"/>
  <pageSetup paperSize="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7"/>
  <sheetViews>
    <sheetView showGridLines="0" zoomScaleNormal="100" workbookViewId="0"/>
  </sheetViews>
  <sheetFormatPr defaultColWidth="8.88671875" defaultRowHeight="15" customHeight="1"/>
  <cols>
    <col min="1" max="1" width="12.77734375" style="1" customWidth="1"/>
    <col min="2" max="2" width="65.77734375" style="40" customWidth="1"/>
    <col min="3" max="3" width="13.33203125" style="40" customWidth="1"/>
    <col min="4" max="4" width="13.33203125" style="47" customWidth="1"/>
    <col min="5" max="5" width="2.33203125" style="40" customWidth="1"/>
    <col min="6" max="7" width="13.33203125" style="40" customWidth="1"/>
    <col min="8" max="16384" width="8.88671875" style="40"/>
  </cols>
  <sheetData>
    <row r="1" spans="1:7" ht="60" customHeight="1">
      <c r="A1" s="1" t="s">
        <v>184</v>
      </c>
      <c r="D1" s="41"/>
      <c r="E1" s="41"/>
      <c r="F1" s="41"/>
      <c r="G1" s="41"/>
    </row>
    <row r="2" spans="1:7" ht="15" customHeight="1">
      <c r="A2" s="1" t="s">
        <v>185</v>
      </c>
      <c r="G2" s="9"/>
    </row>
    <row r="3" spans="1:7" ht="15" customHeight="1">
      <c r="A3" s="1" t="s">
        <v>186</v>
      </c>
    </row>
    <row r="4" spans="1:7" ht="15" customHeight="1">
      <c r="A4" s="1" t="s">
        <v>187</v>
      </c>
    </row>
    <row r="5" spans="1:7" s="47" customFormat="1" ht="15" customHeight="1">
      <c r="A5" s="76" t="s">
        <v>188</v>
      </c>
    </row>
    <row r="6" spans="1:7" s="47" customFormat="1" ht="15" customHeight="1">
      <c r="A6" s="76" t="s">
        <v>189</v>
      </c>
    </row>
    <row r="7" spans="1:7" s="47" customFormat="1" ht="15" customHeight="1">
      <c r="A7" s="76" t="s">
        <v>190</v>
      </c>
    </row>
    <row r="8" spans="1:7" s="47" customFormat="1" ht="15" customHeight="1">
      <c r="A8" s="48" t="s">
        <v>191</v>
      </c>
    </row>
    <row r="9" spans="1:7" s="47" customFormat="1" ht="15" customHeight="1">
      <c r="A9" s="48" t="s">
        <v>192</v>
      </c>
    </row>
    <row r="10" spans="1:7" s="47" customFormat="1" ht="15" customHeight="1">
      <c r="A10" s="76" t="s">
        <v>193</v>
      </c>
    </row>
    <row r="11" spans="1:7" s="47" customFormat="1" ht="15" customHeight="1">
      <c r="A11" s="76" t="s">
        <v>10</v>
      </c>
    </row>
    <row r="12" spans="1:7" s="47" customFormat="1" ht="15" customHeight="1">
      <c r="A12" s="76" t="s">
        <v>22</v>
      </c>
    </row>
    <row r="13" spans="1:7" s="47" customFormat="1" ht="15" customHeight="1">
      <c r="A13" s="76" t="s">
        <v>194</v>
      </c>
      <c r="C13" s="66"/>
      <c r="D13" s="77"/>
      <c r="E13" s="77"/>
      <c r="F13" s="77"/>
      <c r="G13" s="77"/>
    </row>
    <row r="14" spans="1:7" s="47" customFormat="1" ht="15" customHeight="1">
      <c r="A14" s="76" t="s">
        <v>195</v>
      </c>
      <c r="C14" s="77"/>
      <c r="D14" s="77"/>
      <c r="E14" s="77"/>
      <c r="F14" s="77"/>
      <c r="G14" s="77"/>
    </row>
    <row r="15" spans="1:7" s="47" customFormat="1" ht="15" customHeight="1">
      <c r="A15" s="48" t="s">
        <v>196</v>
      </c>
    </row>
    <row r="16" spans="1:7" s="47" customFormat="1" ht="15" customHeight="1">
      <c r="A16" s="3" t="s">
        <v>197</v>
      </c>
      <c r="C16" s="78" t="s">
        <v>51</v>
      </c>
      <c r="D16" s="79" t="s">
        <v>68</v>
      </c>
      <c r="E16" s="80"/>
      <c r="F16" s="81" t="s">
        <v>70</v>
      </c>
      <c r="G16" s="79" t="s">
        <v>67</v>
      </c>
    </row>
    <row r="17" spans="1:12" s="47" customFormat="1" ht="15" customHeight="1">
      <c r="A17" s="76" t="s">
        <v>198</v>
      </c>
      <c r="C17" s="17" t="s">
        <v>52</v>
      </c>
      <c r="D17" s="45">
        <v>50</v>
      </c>
      <c r="E17" s="42"/>
      <c r="F17" s="46" t="s">
        <v>71</v>
      </c>
      <c r="G17" s="45">
        <v>50</v>
      </c>
    </row>
    <row r="18" spans="1:12" s="47" customFormat="1" ht="15" customHeight="1">
      <c r="A18" s="76" t="s">
        <v>21</v>
      </c>
      <c r="C18" s="17" t="s">
        <v>53</v>
      </c>
      <c r="D18" s="45">
        <v>20</v>
      </c>
      <c r="E18" s="42"/>
      <c r="F18" s="46" t="s">
        <v>72</v>
      </c>
      <c r="G18" s="45">
        <v>30</v>
      </c>
    </row>
    <row r="19" spans="1:12" s="47" customFormat="1" ht="15" customHeight="1">
      <c r="A19" s="76" t="s">
        <v>22</v>
      </c>
      <c r="C19" s="17" t="s">
        <v>54</v>
      </c>
      <c r="D19" s="45">
        <v>60</v>
      </c>
      <c r="E19" s="42"/>
      <c r="F19" s="46" t="s">
        <v>73</v>
      </c>
      <c r="G19" s="45">
        <v>10</v>
      </c>
    </row>
    <row r="20" spans="1:12" s="47" customFormat="1" ht="15" customHeight="1">
      <c r="A20" s="76" t="s">
        <v>23</v>
      </c>
      <c r="C20" s="17" t="s">
        <v>55</v>
      </c>
      <c r="D20" s="45">
        <v>40</v>
      </c>
      <c r="E20" s="42"/>
      <c r="F20" s="46" t="s">
        <v>74</v>
      </c>
      <c r="G20" s="45">
        <v>50</v>
      </c>
    </row>
    <row r="21" spans="1:12" s="47" customFormat="1" ht="15" customHeight="1" thickBot="1">
      <c r="A21" s="76" t="s">
        <v>199</v>
      </c>
    </row>
    <row r="22" spans="1:12" s="47" customFormat="1" ht="15" customHeight="1" thickTop="1" thickBot="1">
      <c r="A22" s="76" t="s">
        <v>200</v>
      </c>
      <c r="C22" s="82" t="s">
        <v>52</v>
      </c>
      <c r="D22" s="83"/>
      <c r="E22" s="42"/>
      <c r="F22" s="82" t="s">
        <v>73</v>
      </c>
      <c r="G22" s="83"/>
    </row>
    <row r="23" spans="1:12" s="47" customFormat="1" ht="15" customHeight="1" thickTop="1">
      <c r="A23" s="76" t="s">
        <v>201</v>
      </c>
      <c r="D23" s="42"/>
      <c r="E23" s="42"/>
      <c r="G23" s="42"/>
    </row>
    <row r="24" spans="1:12" s="47" customFormat="1" ht="15" customHeight="1">
      <c r="A24" s="76" t="s">
        <v>202</v>
      </c>
    </row>
    <row r="25" spans="1:12" s="47" customFormat="1" ht="15" customHeight="1">
      <c r="A25" s="76" t="s">
        <v>26</v>
      </c>
    </row>
    <row r="26" spans="1:12" ht="15" customHeight="1">
      <c r="C26" s="47"/>
      <c r="E26" s="47"/>
      <c r="F26" s="47"/>
      <c r="G26" s="47"/>
      <c r="I26" s="47"/>
      <c r="J26" s="47"/>
      <c r="K26" s="47"/>
      <c r="L26" s="47"/>
    </row>
    <row r="27" spans="1:12" ht="15" customHeight="1">
      <c r="C27" s="47"/>
      <c r="E27" s="47"/>
      <c r="F27" s="47"/>
      <c r="G27" s="47"/>
    </row>
    <row r="28" spans="1:12" ht="15" customHeight="1">
      <c r="C28" s="47"/>
      <c r="E28" s="47"/>
      <c r="F28" s="47"/>
      <c r="G28" s="47"/>
    </row>
    <row r="33" spans="3:7" ht="15" customHeight="1">
      <c r="C33" s="84"/>
      <c r="D33" s="85"/>
      <c r="E33" s="85"/>
      <c r="F33" s="85"/>
      <c r="G33" s="85"/>
    </row>
    <row r="34" spans="3:7" ht="15" customHeight="1">
      <c r="C34" s="85"/>
      <c r="D34" s="85"/>
      <c r="E34" s="85"/>
      <c r="F34" s="85"/>
      <c r="G34" s="85"/>
    </row>
    <row r="35" spans="3:7" ht="15" customHeight="1">
      <c r="C35" s="86" t="s">
        <v>93</v>
      </c>
      <c r="D35" s="41"/>
      <c r="E35" s="41"/>
      <c r="F35" s="41"/>
      <c r="G35" s="41"/>
    </row>
    <row r="36" spans="3:7" ht="15" customHeight="1">
      <c r="C36" s="78" t="s">
        <v>57</v>
      </c>
      <c r="D36" s="79" t="s">
        <v>67</v>
      </c>
      <c r="E36" s="80"/>
      <c r="F36" s="81" t="s">
        <v>57</v>
      </c>
      <c r="G36" s="79" t="s">
        <v>67</v>
      </c>
    </row>
    <row r="37" spans="3:7" ht="15" customHeight="1">
      <c r="C37" s="17" t="s">
        <v>58</v>
      </c>
      <c r="D37" s="45">
        <v>50</v>
      </c>
      <c r="E37" s="42"/>
      <c r="F37" s="46" t="s">
        <v>58</v>
      </c>
      <c r="G37" s="45">
        <v>50</v>
      </c>
    </row>
    <row r="38" spans="3:7" ht="15" customHeight="1">
      <c r="C38" s="17" t="s">
        <v>59</v>
      </c>
      <c r="D38" s="45">
        <v>100</v>
      </c>
      <c r="E38" s="42"/>
      <c r="F38" s="46" t="s">
        <v>59</v>
      </c>
      <c r="G38" s="45">
        <v>100</v>
      </c>
    </row>
    <row r="39" spans="3:7" ht="15" customHeight="1">
      <c r="C39" s="17" t="s">
        <v>60</v>
      </c>
      <c r="D39" s="45">
        <v>40</v>
      </c>
      <c r="E39" s="42"/>
      <c r="F39" s="46" t="s">
        <v>60</v>
      </c>
      <c r="G39" s="45">
        <v>40</v>
      </c>
    </row>
    <row r="40" spans="3:7" ht="15" customHeight="1">
      <c r="C40" s="17" t="s">
        <v>61</v>
      </c>
      <c r="D40" s="45">
        <v>50</v>
      </c>
      <c r="E40" s="42"/>
      <c r="F40" s="46" t="s">
        <v>61</v>
      </c>
      <c r="G40" s="45">
        <v>50</v>
      </c>
    </row>
    <row r="41" spans="3:7" ht="15" customHeight="1">
      <c r="C41" s="17" t="s">
        <v>62</v>
      </c>
      <c r="D41" s="45">
        <v>20</v>
      </c>
      <c r="E41" s="42"/>
      <c r="F41" s="46" t="s">
        <v>62</v>
      </c>
      <c r="G41" s="45">
        <v>20</v>
      </c>
    </row>
    <row r="42" spans="3:7" ht="15" customHeight="1" thickBot="1">
      <c r="C42" s="47"/>
      <c r="E42" s="47"/>
      <c r="F42" s="47"/>
      <c r="G42" s="47"/>
    </row>
    <row r="43" spans="3:7" ht="16.5" customHeight="1" thickTop="1" thickBot="1">
      <c r="C43" s="82"/>
      <c r="D43" s="83" t="e">
        <f>VLOOKUP(C43,C37:D41,2,FALSE)</f>
        <v>#N/A</v>
      </c>
      <c r="E43" s="42"/>
      <c r="F43" s="82" t="s">
        <v>203</v>
      </c>
      <c r="G43" s="83" t="str">
        <f>IFERROR(VLOOKUP(F43,F37:G41,2,FALSE),"")</f>
        <v/>
      </c>
    </row>
    <row r="44" spans="3:7" ht="15" customHeight="1" thickTop="1">
      <c r="C44" s="54"/>
      <c r="E44" s="54"/>
      <c r="F44" s="54"/>
      <c r="G44" s="54"/>
    </row>
    <row r="45" spans="3:7" ht="15" customHeight="1">
      <c r="C45" s="54"/>
      <c r="E45" s="54"/>
      <c r="F45" s="54"/>
      <c r="G45" s="54"/>
    </row>
    <row r="46" spans="3:7" ht="15" customHeight="1">
      <c r="C46" s="54"/>
      <c r="E46" s="54"/>
      <c r="F46" s="54"/>
      <c r="G46" s="54"/>
    </row>
    <row r="47" spans="3:7" ht="15" customHeight="1">
      <c r="C47" s="54"/>
      <c r="E47" s="54"/>
      <c r="F47" s="54"/>
      <c r="G47" s="54"/>
    </row>
  </sheetData>
  <phoneticPr fontId="7" type="noConversion"/>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zoomScaleNormal="100" workbookViewId="0"/>
  </sheetViews>
  <sheetFormatPr defaultColWidth="8.88671875" defaultRowHeight="16.5"/>
  <cols>
    <col min="1" max="1" width="12.77734375" style="1" customWidth="1"/>
    <col min="2" max="2" width="65.77734375" style="1" customWidth="1"/>
    <col min="3" max="4" width="12.77734375" style="40" customWidth="1"/>
    <col min="5" max="5" width="8.44140625" style="40" customWidth="1"/>
    <col min="6" max="7" width="12.77734375" style="40" customWidth="1"/>
    <col min="8" max="8" width="13.109375" style="40" customWidth="1"/>
    <col min="9" max="25" width="8.88671875" style="40"/>
    <col min="26" max="26" width="8.88671875" style="40" hidden="1" customWidth="1"/>
    <col min="27" max="27" width="2.33203125" style="40" hidden="1" customWidth="1"/>
    <col min="28" max="28" width="11.109375" style="40" hidden="1" customWidth="1"/>
    <col min="29" max="29" width="2.33203125" style="40" hidden="1" customWidth="1"/>
    <col min="30" max="30" width="11.109375" style="40" hidden="1" customWidth="1"/>
    <col min="31" max="31" width="2.33203125" style="40" hidden="1" customWidth="1"/>
    <col min="32" max="32" width="11.109375" style="40" hidden="1" customWidth="1"/>
    <col min="33" max="33" width="2.33203125" style="40" hidden="1" customWidth="1"/>
    <col min="34" max="34" width="11.109375" style="40" hidden="1" customWidth="1"/>
    <col min="35" max="16384" width="8.88671875" style="40"/>
  </cols>
  <sheetData>
    <row r="1" spans="1:34" ht="60" customHeight="1">
      <c r="A1" s="2" t="s">
        <v>204</v>
      </c>
      <c r="C1" s="11"/>
      <c r="D1" s="41"/>
      <c r="E1" s="41"/>
      <c r="F1" s="41"/>
      <c r="G1" s="41"/>
      <c r="H1" s="41"/>
    </row>
    <row r="2" spans="1:34" ht="15" customHeight="1">
      <c r="A2" s="2" t="s">
        <v>205</v>
      </c>
      <c r="C2" s="8" t="s">
        <v>51</v>
      </c>
      <c r="D2" s="6" t="s">
        <v>67</v>
      </c>
      <c r="E2" s="42"/>
      <c r="F2" s="8" t="s">
        <v>51</v>
      </c>
      <c r="G2" s="8" t="s">
        <v>244</v>
      </c>
      <c r="H2" s="6" t="s">
        <v>67</v>
      </c>
      <c r="Z2" s="8" t="s">
        <v>51</v>
      </c>
      <c r="AB2" s="8" t="s">
        <v>52</v>
      </c>
      <c r="AD2" s="8" t="s">
        <v>53</v>
      </c>
      <c r="AF2" s="8" t="s">
        <v>54</v>
      </c>
      <c r="AH2" s="8" t="s">
        <v>55</v>
      </c>
    </row>
    <row r="3" spans="1:34" ht="15" customHeight="1">
      <c r="A3" s="2" t="s">
        <v>206</v>
      </c>
      <c r="C3" s="17" t="s">
        <v>52</v>
      </c>
      <c r="D3" s="45">
        <v>50</v>
      </c>
      <c r="E3" s="42"/>
      <c r="F3" s="17" t="s">
        <v>52</v>
      </c>
      <c r="G3" s="17" t="s">
        <v>245</v>
      </c>
      <c r="H3" s="45">
        <v>50</v>
      </c>
      <c r="Z3" s="87" t="s">
        <v>52</v>
      </c>
      <c r="AB3" s="87" t="s">
        <v>245</v>
      </c>
      <c r="AD3" s="87" t="s">
        <v>246</v>
      </c>
      <c r="AF3" s="87" t="s">
        <v>247</v>
      </c>
      <c r="AH3" s="87" t="s">
        <v>248</v>
      </c>
    </row>
    <row r="4" spans="1:34" ht="15" customHeight="1">
      <c r="A4" s="2">
        <f>SUMIF(C3:C14,C17,D3:D14)</f>
        <v>150</v>
      </c>
      <c r="C4" s="17" t="s">
        <v>53</v>
      </c>
      <c r="D4" s="45">
        <v>20</v>
      </c>
      <c r="E4" s="42"/>
      <c r="F4" s="17" t="s">
        <v>53</v>
      </c>
      <c r="G4" s="17" t="s">
        <v>246</v>
      </c>
      <c r="H4" s="45">
        <v>20</v>
      </c>
      <c r="J4" s="44"/>
      <c r="K4" s="44"/>
      <c r="L4" s="44"/>
      <c r="M4" s="44"/>
      <c r="N4" s="44"/>
      <c r="Z4" s="87" t="s">
        <v>53</v>
      </c>
      <c r="AB4" s="87" t="s">
        <v>249</v>
      </c>
      <c r="AD4" s="87" t="s">
        <v>250</v>
      </c>
      <c r="AF4" s="87" t="s">
        <v>251</v>
      </c>
      <c r="AH4" s="87" t="s">
        <v>252</v>
      </c>
    </row>
    <row r="5" spans="1:34" s="47" customFormat="1" ht="15" customHeight="1">
      <c r="A5" s="2" t="s">
        <v>207</v>
      </c>
      <c r="C5" s="17" t="s">
        <v>54</v>
      </c>
      <c r="D5" s="45">
        <v>60</v>
      </c>
      <c r="E5" s="42"/>
      <c r="F5" s="17" t="s">
        <v>54</v>
      </c>
      <c r="G5" s="17" t="s">
        <v>247</v>
      </c>
      <c r="H5" s="45">
        <v>60</v>
      </c>
      <c r="I5" s="40"/>
      <c r="J5" s="44"/>
      <c r="K5" s="88"/>
      <c r="L5" s="44"/>
      <c r="M5" s="44"/>
      <c r="N5" s="44"/>
      <c r="O5" s="40"/>
      <c r="P5" s="40"/>
      <c r="Z5" s="87" t="s">
        <v>54</v>
      </c>
    </row>
    <row r="6" spans="1:34" s="47" customFormat="1" ht="15" customHeight="1">
      <c r="A6" s="2" t="s">
        <v>208</v>
      </c>
      <c r="C6" s="17" t="s">
        <v>55</v>
      </c>
      <c r="D6" s="45">
        <v>40</v>
      </c>
      <c r="E6" s="42"/>
      <c r="F6" s="17" t="s">
        <v>55</v>
      </c>
      <c r="G6" s="17" t="s">
        <v>248</v>
      </c>
      <c r="H6" s="45">
        <v>40</v>
      </c>
      <c r="I6" s="40"/>
      <c r="J6" s="40"/>
      <c r="K6" s="40"/>
      <c r="L6" s="40"/>
      <c r="M6" s="40"/>
      <c r="N6" s="44"/>
      <c r="O6" s="40"/>
      <c r="P6" s="40"/>
      <c r="Z6" s="87" t="s">
        <v>55</v>
      </c>
    </row>
    <row r="7" spans="1:34" s="47" customFormat="1" ht="15" customHeight="1">
      <c r="A7" s="2" t="s">
        <v>209</v>
      </c>
      <c r="C7" s="17" t="s">
        <v>52</v>
      </c>
      <c r="D7" s="45">
        <v>50</v>
      </c>
      <c r="E7" s="42"/>
      <c r="F7" s="17" t="s">
        <v>52</v>
      </c>
      <c r="G7" s="17" t="s">
        <v>249</v>
      </c>
      <c r="H7" s="45">
        <v>50</v>
      </c>
      <c r="N7" s="44"/>
    </row>
    <row r="8" spans="1:34" s="47" customFormat="1" ht="15" customHeight="1">
      <c r="A8" s="2" t="s">
        <v>210</v>
      </c>
      <c r="C8" s="17" t="s">
        <v>53</v>
      </c>
      <c r="D8" s="45">
        <v>20</v>
      </c>
      <c r="E8" s="42"/>
      <c r="F8" s="17" t="s">
        <v>53</v>
      </c>
      <c r="G8" s="17" t="s">
        <v>250</v>
      </c>
      <c r="H8" s="45">
        <v>20</v>
      </c>
      <c r="N8" s="44"/>
    </row>
    <row r="9" spans="1:34" s="47" customFormat="1" ht="15" customHeight="1">
      <c r="A9" s="2" t="s">
        <v>211</v>
      </c>
      <c r="C9" s="17" t="s">
        <v>54</v>
      </c>
      <c r="D9" s="45">
        <v>60</v>
      </c>
      <c r="E9" s="42"/>
      <c r="F9" s="17" t="s">
        <v>54</v>
      </c>
      <c r="G9" s="17" t="s">
        <v>251</v>
      </c>
      <c r="H9" s="45">
        <v>60</v>
      </c>
      <c r="N9" s="44"/>
    </row>
    <row r="10" spans="1:34" s="47" customFormat="1" ht="15" customHeight="1">
      <c r="A10" s="2" t="s">
        <v>212</v>
      </c>
      <c r="C10" s="17" t="s">
        <v>55</v>
      </c>
      <c r="D10" s="45">
        <v>40</v>
      </c>
      <c r="E10" s="42"/>
      <c r="F10" s="17" t="s">
        <v>55</v>
      </c>
      <c r="G10" s="17" t="s">
        <v>252</v>
      </c>
      <c r="H10" s="45">
        <v>40</v>
      </c>
      <c r="J10" s="44"/>
      <c r="K10" s="44"/>
      <c r="L10" s="44"/>
      <c r="M10" s="44"/>
      <c r="N10" s="44"/>
    </row>
    <row r="11" spans="1:34" s="47" customFormat="1" ht="15" customHeight="1">
      <c r="A11" s="2" t="s">
        <v>213</v>
      </c>
      <c r="C11" s="17" t="s">
        <v>52</v>
      </c>
      <c r="D11" s="45">
        <v>50</v>
      </c>
      <c r="E11" s="42"/>
      <c r="F11" s="17" t="s">
        <v>52</v>
      </c>
      <c r="G11" s="17" t="s">
        <v>249</v>
      </c>
      <c r="H11" s="45">
        <v>50</v>
      </c>
      <c r="J11" s="89"/>
      <c r="K11" s="49"/>
      <c r="L11" s="44"/>
      <c r="M11" s="44"/>
      <c r="N11" s="44"/>
    </row>
    <row r="12" spans="1:34" s="47" customFormat="1" ht="15" customHeight="1">
      <c r="A12" s="2" t="s">
        <v>214</v>
      </c>
      <c r="C12" s="17" t="s">
        <v>53</v>
      </c>
      <c r="D12" s="45">
        <v>20</v>
      </c>
      <c r="E12" s="42"/>
      <c r="F12" s="17" t="s">
        <v>53</v>
      </c>
      <c r="G12" s="17" t="s">
        <v>250</v>
      </c>
      <c r="H12" s="45">
        <v>20</v>
      </c>
      <c r="J12" s="89"/>
      <c r="K12" s="90"/>
      <c r="L12" s="44"/>
      <c r="M12" s="44"/>
      <c r="N12" s="44"/>
    </row>
    <row r="13" spans="1:34" s="47" customFormat="1" ht="15" customHeight="1">
      <c r="A13" s="3" t="s">
        <v>215</v>
      </c>
      <c r="C13" s="17" t="s">
        <v>54</v>
      </c>
      <c r="D13" s="45">
        <v>60</v>
      </c>
      <c r="E13" s="42"/>
      <c r="F13" s="17" t="s">
        <v>54</v>
      </c>
      <c r="G13" s="17" t="s">
        <v>247</v>
      </c>
      <c r="H13" s="45">
        <v>60</v>
      </c>
      <c r="J13" s="89"/>
      <c r="K13" s="90"/>
      <c r="L13" s="44"/>
      <c r="M13" s="44"/>
      <c r="N13" s="44"/>
    </row>
    <row r="14" spans="1:34" s="47" customFormat="1" ht="15" customHeight="1">
      <c r="A14" s="91" t="s">
        <v>216</v>
      </c>
      <c r="C14" s="17" t="s">
        <v>55</v>
      </c>
      <c r="D14" s="45">
        <v>40</v>
      </c>
      <c r="E14" s="42"/>
      <c r="F14" s="17" t="s">
        <v>55</v>
      </c>
      <c r="G14" s="17" t="s">
        <v>252</v>
      </c>
      <c r="H14" s="45">
        <v>40</v>
      </c>
      <c r="J14" s="89"/>
      <c r="K14" s="92"/>
      <c r="L14" s="44"/>
      <c r="M14" s="44"/>
      <c r="N14" s="44"/>
    </row>
    <row r="15" spans="1:34" s="47" customFormat="1" ht="15" customHeight="1">
      <c r="A15" s="3" t="s">
        <v>217</v>
      </c>
      <c r="C15" s="10"/>
      <c r="D15" s="10"/>
      <c r="E15" s="10"/>
      <c r="F15" s="10"/>
      <c r="G15" s="10"/>
      <c r="H15" s="10"/>
      <c r="J15" s="89"/>
      <c r="K15" s="93"/>
      <c r="L15" s="44"/>
      <c r="M15" s="44"/>
      <c r="N15" s="44"/>
    </row>
    <row r="16" spans="1:34" s="47" customFormat="1" ht="15" customHeight="1" thickBot="1">
      <c r="A16" s="2" t="s">
        <v>10</v>
      </c>
      <c r="C16" s="47" t="s">
        <v>51</v>
      </c>
      <c r="D16" s="80" t="s">
        <v>242</v>
      </c>
      <c r="E16" s="42"/>
      <c r="F16" s="47" t="s">
        <v>51</v>
      </c>
      <c r="G16" s="47" t="s">
        <v>244</v>
      </c>
      <c r="H16" s="80" t="s">
        <v>254</v>
      </c>
      <c r="J16" s="89"/>
      <c r="K16" s="49"/>
      <c r="L16" s="44"/>
      <c r="M16" s="44"/>
      <c r="N16" s="44"/>
    </row>
    <row r="17" spans="1:34" s="47" customFormat="1" ht="15" customHeight="1" thickTop="1" thickBot="1">
      <c r="A17" s="2" t="s">
        <v>11</v>
      </c>
      <c r="C17" s="14" t="s">
        <v>52</v>
      </c>
      <c r="D17" s="94"/>
      <c r="E17" s="42"/>
      <c r="F17" s="14" t="s">
        <v>53</v>
      </c>
      <c r="G17" s="14" t="s">
        <v>246</v>
      </c>
      <c r="H17" s="83"/>
      <c r="J17" s="95"/>
      <c r="K17" s="90"/>
      <c r="L17" s="44"/>
      <c r="M17" s="44"/>
      <c r="N17" s="44"/>
    </row>
    <row r="18" spans="1:34" s="47" customFormat="1" ht="15" customHeight="1" thickTop="1">
      <c r="A18" s="2" t="s">
        <v>218</v>
      </c>
      <c r="E18" s="42"/>
      <c r="J18" s="89"/>
      <c r="K18" s="92"/>
      <c r="L18" s="44"/>
      <c r="M18" s="44"/>
      <c r="N18" s="44"/>
    </row>
    <row r="19" spans="1:34" s="47" customFormat="1" ht="15" customHeight="1">
      <c r="A19" s="2" t="s">
        <v>219</v>
      </c>
      <c r="C19" s="54"/>
      <c r="D19" s="54"/>
      <c r="E19" s="54"/>
      <c r="F19" s="54"/>
      <c r="G19" s="54"/>
      <c r="H19" s="54"/>
      <c r="J19" s="89"/>
      <c r="K19" s="93"/>
      <c r="L19" s="44"/>
      <c r="M19" s="44"/>
    </row>
    <row r="20" spans="1:34" s="47" customFormat="1" ht="15" customHeight="1">
      <c r="A20" s="2" t="s">
        <v>305</v>
      </c>
      <c r="C20" s="54"/>
      <c r="D20" s="54"/>
      <c r="E20" s="54"/>
      <c r="F20" s="54"/>
      <c r="G20" s="54"/>
      <c r="H20" s="54"/>
      <c r="J20" s="95"/>
      <c r="K20" s="49"/>
      <c r="M20" s="44"/>
    </row>
    <row r="21" spans="1:34" s="47" customFormat="1" ht="15" customHeight="1">
      <c r="A21" s="2" t="s">
        <v>220</v>
      </c>
      <c r="C21" s="54"/>
      <c r="D21" s="54"/>
      <c r="E21" s="54"/>
      <c r="F21" s="54"/>
      <c r="G21" s="54"/>
      <c r="H21" s="54"/>
      <c r="J21" s="95"/>
      <c r="K21" s="90"/>
      <c r="M21" s="44"/>
    </row>
    <row r="22" spans="1:34" s="47" customFormat="1" ht="15" customHeight="1">
      <c r="A22" s="2" t="s">
        <v>207</v>
      </c>
      <c r="C22" s="54"/>
      <c r="D22" s="54"/>
      <c r="E22" s="54"/>
      <c r="F22" s="54"/>
      <c r="G22" s="54"/>
      <c r="H22" s="54"/>
      <c r="J22" s="40"/>
      <c r="K22" s="90"/>
      <c r="L22" s="96"/>
      <c r="M22" s="44"/>
    </row>
    <row r="23" spans="1:34" s="47" customFormat="1" ht="15" customHeight="1">
      <c r="A23" s="2" t="s">
        <v>208</v>
      </c>
      <c r="C23" s="54"/>
      <c r="D23" s="54"/>
      <c r="E23" s="54"/>
      <c r="F23" s="54"/>
      <c r="G23" s="54"/>
      <c r="H23" s="54"/>
      <c r="J23" s="40"/>
      <c r="K23" s="97"/>
      <c r="L23" s="96"/>
      <c r="M23" s="44"/>
    </row>
    <row r="24" spans="1:34" s="47" customFormat="1" ht="15" customHeight="1">
      <c r="A24" s="3" t="s">
        <v>310</v>
      </c>
      <c r="C24" s="54"/>
      <c r="D24" s="54"/>
      <c r="E24" s="54"/>
      <c r="F24" s="54"/>
      <c r="G24" s="54"/>
      <c r="H24" s="54"/>
      <c r="J24" s="40"/>
      <c r="L24" s="96"/>
      <c r="M24" s="44"/>
      <c r="AH24" s="40"/>
    </row>
    <row r="25" spans="1:34" s="47" customFormat="1" ht="15" customHeight="1">
      <c r="A25" s="2" t="s">
        <v>221</v>
      </c>
      <c r="C25" s="54"/>
      <c r="D25" s="54"/>
      <c r="E25" s="54"/>
      <c r="F25" s="54"/>
      <c r="G25" s="54"/>
      <c r="H25" s="54"/>
      <c r="J25" s="40"/>
      <c r="L25" s="96"/>
      <c r="M25" s="44"/>
      <c r="AH25" s="40"/>
    </row>
    <row r="26" spans="1:34" s="47" customFormat="1" ht="15" customHeight="1">
      <c r="A26" s="2" t="s">
        <v>222</v>
      </c>
      <c r="C26" s="54"/>
      <c r="D26" s="54"/>
      <c r="E26" s="54"/>
      <c r="F26" s="54"/>
      <c r="G26" s="54"/>
      <c r="H26" s="54"/>
      <c r="J26" s="40"/>
      <c r="L26" s="96"/>
      <c r="M26" s="44"/>
      <c r="AH26" s="40"/>
    </row>
    <row r="27" spans="1:34" s="47" customFormat="1" ht="15" customHeight="1">
      <c r="A27" s="2" t="s">
        <v>214</v>
      </c>
      <c r="C27" s="54"/>
      <c r="D27" s="54"/>
      <c r="E27" s="54"/>
      <c r="F27" s="54"/>
      <c r="G27" s="54"/>
      <c r="H27" s="54"/>
      <c r="J27" s="40"/>
      <c r="L27" s="96"/>
      <c r="M27" s="44"/>
      <c r="AH27" s="40"/>
    </row>
    <row r="28" spans="1:34" s="47" customFormat="1" ht="15" customHeight="1">
      <c r="A28" s="2" t="s">
        <v>223</v>
      </c>
      <c r="C28" s="54"/>
      <c r="D28" s="54"/>
      <c r="E28" s="54"/>
      <c r="F28" s="54"/>
      <c r="G28" s="54"/>
      <c r="H28" s="54"/>
      <c r="J28" s="40"/>
      <c r="L28" s="96"/>
      <c r="AH28" s="40"/>
    </row>
    <row r="29" spans="1:34" s="47" customFormat="1" ht="15" customHeight="1">
      <c r="A29" s="2" t="s">
        <v>216</v>
      </c>
      <c r="C29" s="54"/>
      <c r="D29" s="54"/>
      <c r="E29" s="54"/>
      <c r="F29" s="54"/>
      <c r="G29" s="54"/>
      <c r="H29" s="54"/>
      <c r="J29" s="40"/>
      <c r="L29" s="96"/>
      <c r="AH29" s="40"/>
    </row>
    <row r="30" spans="1:34" s="47" customFormat="1" ht="15" customHeight="1">
      <c r="A30" s="2" t="s">
        <v>10</v>
      </c>
      <c r="C30" s="54"/>
      <c r="D30" s="54"/>
      <c r="E30" s="54"/>
      <c r="F30" s="54"/>
      <c r="G30" s="54"/>
      <c r="H30" s="54"/>
      <c r="AB30" s="40"/>
      <c r="AD30" s="40"/>
      <c r="AH30" s="40"/>
    </row>
    <row r="31" spans="1:34" s="47" customFormat="1" ht="15" customHeight="1">
      <c r="A31" s="2" t="s">
        <v>22</v>
      </c>
      <c r="C31" s="54"/>
      <c r="D31" s="54"/>
      <c r="E31" s="54"/>
      <c r="F31" s="54"/>
      <c r="G31" s="54"/>
      <c r="H31" s="54"/>
      <c r="N31" s="44"/>
      <c r="AB31" s="40"/>
      <c r="AD31" s="40"/>
      <c r="AH31" s="40"/>
    </row>
    <row r="32" spans="1:34" s="47" customFormat="1" ht="15" customHeight="1">
      <c r="A32" s="76" t="s">
        <v>224</v>
      </c>
      <c r="C32" s="54"/>
      <c r="D32" s="54"/>
      <c r="E32" s="54"/>
      <c r="F32" s="54"/>
      <c r="G32" s="54"/>
      <c r="H32" s="54"/>
      <c r="N32" s="44"/>
      <c r="AB32" s="40"/>
      <c r="AD32" s="40"/>
      <c r="AH32" s="40"/>
    </row>
    <row r="33" spans="1:34" s="47" customFormat="1" ht="15" customHeight="1">
      <c r="A33" s="76" t="s">
        <v>225</v>
      </c>
      <c r="C33" s="54"/>
      <c r="D33" s="54"/>
      <c r="E33" s="54"/>
      <c r="F33" s="54"/>
      <c r="G33" s="54"/>
      <c r="H33" s="54"/>
      <c r="AB33" s="40"/>
      <c r="AD33" s="40"/>
      <c r="AH33" s="40"/>
    </row>
    <row r="34" spans="1:34" s="47" customFormat="1" ht="15" customHeight="1">
      <c r="A34" s="76" t="s">
        <v>10</v>
      </c>
      <c r="C34" s="54"/>
      <c r="D34" s="54"/>
      <c r="E34" s="54"/>
      <c r="F34" s="54"/>
      <c r="G34" s="54"/>
      <c r="H34" s="54"/>
      <c r="AB34" s="40"/>
      <c r="AD34" s="40"/>
      <c r="AH34" s="40"/>
    </row>
    <row r="35" spans="1:34" s="47" customFormat="1" ht="15" customHeight="1">
      <c r="A35" s="76" t="s">
        <v>22</v>
      </c>
      <c r="AB35" s="40"/>
      <c r="AD35" s="40"/>
      <c r="AH35" s="40"/>
    </row>
    <row r="36" spans="1:34">
      <c r="A36" s="1" t="s">
        <v>226</v>
      </c>
      <c r="C36" s="47"/>
      <c r="D36" s="47"/>
      <c r="E36" s="47"/>
      <c r="F36" s="47"/>
      <c r="G36" s="47"/>
      <c r="H36" s="47"/>
      <c r="I36" s="47"/>
      <c r="J36" s="47"/>
      <c r="K36" s="47"/>
      <c r="L36" s="47"/>
      <c r="M36" s="47"/>
      <c r="N36" s="47"/>
      <c r="O36" s="47"/>
      <c r="P36" s="47"/>
    </row>
    <row r="37" spans="1:34">
      <c r="A37" s="1" t="s">
        <v>227</v>
      </c>
      <c r="C37" s="47"/>
      <c r="D37" s="47"/>
      <c r="E37" s="47"/>
      <c r="F37" s="47"/>
      <c r="G37" s="47"/>
      <c r="H37" s="47"/>
      <c r="I37" s="47"/>
      <c r="J37" s="47"/>
      <c r="K37" s="47"/>
      <c r="L37" s="47"/>
      <c r="M37" s="47"/>
      <c r="N37" s="47"/>
      <c r="O37" s="47"/>
      <c r="P37" s="47"/>
    </row>
    <row r="38" spans="1:34">
      <c r="A38" s="1" t="s">
        <v>228</v>
      </c>
      <c r="C38" s="47"/>
      <c r="D38" s="47"/>
      <c r="E38" s="47"/>
      <c r="F38" s="47"/>
      <c r="G38" s="47"/>
      <c r="H38" s="47"/>
      <c r="I38" s="47"/>
      <c r="J38" s="47"/>
      <c r="K38" s="47"/>
      <c r="L38" s="47"/>
      <c r="M38" s="47"/>
      <c r="N38" s="47"/>
      <c r="O38" s="47"/>
      <c r="P38" s="47"/>
    </row>
    <row r="39" spans="1:34">
      <c r="A39" s="1" t="s">
        <v>229</v>
      </c>
      <c r="C39" s="47"/>
      <c r="D39" s="47"/>
      <c r="E39" s="47"/>
      <c r="F39" s="47"/>
      <c r="G39" s="47"/>
      <c r="H39" s="47"/>
      <c r="I39" s="47"/>
      <c r="J39" s="47"/>
      <c r="K39" s="47"/>
      <c r="L39" s="47"/>
      <c r="M39" s="47"/>
      <c r="N39" s="47"/>
      <c r="O39" s="47"/>
      <c r="P39" s="47"/>
    </row>
    <row r="40" spans="1:34">
      <c r="A40" s="1" t="s">
        <v>230</v>
      </c>
      <c r="C40" s="47"/>
      <c r="D40" s="47"/>
      <c r="E40" s="47"/>
      <c r="F40" s="47"/>
      <c r="G40" s="47"/>
      <c r="H40" s="47"/>
      <c r="I40" s="47"/>
      <c r="J40" s="47"/>
      <c r="K40" s="47"/>
      <c r="L40" s="47"/>
      <c r="M40" s="47"/>
      <c r="N40" s="47"/>
      <c r="O40" s="47"/>
      <c r="P40" s="47"/>
    </row>
    <row r="41" spans="1:34">
      <c r="A41" s="1" t="s">
        <v>231</v>
      </c>
      <c r="C41" s="47"/>
      <c r="D41" s="47"/>
      <c r="E41" s="47"/>
      <c r="F41" s="47"/>
      <c r="G41" s="47"/>
      <c r="H41" s="47"/>
      <c r="I41" s="47"/>
      <c r="J41" s="47"/>
      <c r="K41" s="47"/>
      <c r="L41" s="47"/>
      <c r="M41" s="47"/>
      <c r="N41" s="47"/>
      <c r="O41" s="47"/>
      <c r="P41" s="47"/>
    </row>
    <row r="42" spans="1:34">
      <c r="A42" s="1" t="s">
        <v>232</v>
      </c>
      <c r="C42" s="47"/>
      <c r="D42" s="47"/>
      <c r="E42" s="47"/>
      <c r="F42" s="47"/>
      <c r="G42" s="47"/>
      <c r="H42" s="47"/>
      <c r="I42" s="47"/>
      <c r="J42" s="47"/>
      <c r="K42" s="47"/>
      <c r="L42" s="47"/>
      <c r="M42" s="47"/>
      <c r="N42" s="47"/>
      <c r="O42" s="47"/>
      <c r="P42" s="47"/>
    </row>
    <row r="43" spans="1:34">
      <c r="A43" s="1" t="s">
        <v>23</v>
      </c>
      <c r="C43" s="47"/>
      <c r="D43" s="47"/>
      <c r="E43" s="47"/>
      <c r="F43" s="47"/>
      <c r="G43" s="47"/>
      <c r="H43" s="47"/>
      <c r="I43" s="47"/>
      <c r="J43" s="47"/>
      <c r="K43" s="47"/>
      <c r="L43" s="47"/>
      <c r="M43" s="47"/>
      <c r="N43" s="47"/>
      <c r="O43" s="47"/>
      <c r="P43" s="47"/>
    </row>
    <row r="44" spans="1:34">
      <c r="A44" s="1" t="s">
        <v>96</v>
      </c>
      <c r="C44" s="47"/>
      <c r="D44" s="47"/>
      <c r="E44" s="47"/>
      <c r="F44" s="47"/>
      <c r="G44" s="47"/>
      <c r="H44" s="47"/>
      <c r="I44" s="47"/>
      <c r="J44" s="47"/>
      <c r="K44" s="47"/>
      <c r="L44" s="47"/>
      <c r="M44" s="47"/>
      <c r="N44" s="47"/>
      <c r="O44" s="47"/>
      <c r="P44" s="47"/>
    </row>
    <row r="45" spans="1:34">
      <c r="A45" s="1" t="s">
        <v>233</v>
      </c>
      <c r="C45" s="47"/>
      <c r="D45" s="47"/>
      <c r="E45" s="47"/>
      <c r="F45" s="47"/>
      <c r="G45" s="47"/>
      <c r="H45" s="47"/>
      <c r="I45" s="47"/>
      <c r="J45" s="47"/>
      <c r="K45" s="47"/>
      <c r="L45" s="47"/>
      <c r="M45" s="47"/>
      <c r="N45" s="47"/>
      <c r="O45" s="47"/>
      <c r="P45" s="47"/>
    </row>
    <row r="46" spans="1:34">
      <c r="A46" s="1" t="s">
        <v>234</v>
      </c>
      <c r="C46" s="47"/>
      <c r="D46" s="47"/>
      <c r="E46" s="47"/>
      <c r="F46" s="47"/>
      <c r="G46" s="47"/>
      <c r="H46" s="47"/>
      <c r="I46" s="47"/>
      <c r="J46" s="47"/>
      <c r="K46" s="47"/>
      <c r="L46" s="47"/>
      <c r="M46" s="47"/>
      <c r="N46" s="47"/>
      <c r="O46" s="47"/>
      <c r="P46" s="47"/>
    </row>
    <row r="47" spans="1:34">
      <c r="A47" s="1" t="s">
        <v>235</v>
      </c>
      <c r="C47" s="47"/>
      <c r="D47" s="47"/>
      <c r="E47" s="47"/>
      <c r="F47" s="47"/>
      <c r="G47" s="47"/>
      <c r="H47" s="47"/>
      <c r="I47" s="47"/>
      <c r="J47" s="47"/>
      <c r="K47" s="47"/>
      <c r="L47" s="47"/>
      <c r="M47" s="47"/>
      <c r="N47" s="47"/>
      <c r="O47" s="47"/>
      <c r="P47" s="47"/>
    </row>
    <row r="48" spans="1:34">
      <c r="A48" s="1" t="s">
        <v>236</v>
      </c>
      <c r="C48" s="47"/>
      <c r="D48" s="47"/>
      <c r="E48" s="47"/>
      <c r="F48" s="47"/>
      <c r="G48" s="47"/>
      <c r="H48" s="47"/>
      <c r="I48" s="47"/>
      <c r="J48" s="47"/>
      <c r="K48" s="47"/>
      <c r="L48" s="47"/>
      <c r="M48" s="47"/>
      <c r="N48" s="47"/>
      <c r="O48" s="47"/>
      <c r="P48" s="47"/>
    </row>
    <row r="49" spans="1:16">
      <c r="A49" s="1" t="s">
        <v>237</v>
      </c>
      <c r="C49" s="8" t="s">
        <v>51</v>
      </c>
      <c r="D49" s="6" t="s">
        <v>67</v>
      </c>
      <c r="E49" s="42"/>
      <c r="F49" s="8" t="s">
        <v>51</v>
      </c>
      <c r="G49" s="8" t="s">
        <v>244</v>
      </c>
      <c r="H49" s="6" t="s">
        <v>67</v>
      </c>
      <c r="I49" s="47"/>
      <c r="J49" s="47"/>
      <c r="K49" s="47"/>
      <c r="L49" s="47"/>
      <c r="M49" s="47"/>
      <c r="N49" s="47"/>
      <c r="O49" s="47"/>
      <c r="P49" s="47"/>
    </row>
    <row r="50" spans="1:16">
      <c r="A50" s="1" t="s">
        <v>238</v>
      </c>
      <c r="C50" s="87" t="s">
        <v>52</v>
      </c>
      <c r="D50" s="98">
        <v>50</v>
      </c>
      <c r="E50" s="42"/>
      <c r="F50" s="87" t="s">
        <v>52</v>
      </c>
      <c r="G50" s="87" t="s">
        <v>245</v>
      </c>
      <c r="H50" s="98">
        <v>50</v>
      </c>
      <c r="I50" s="47"/>
      <c r="J50" s="47"/>
      <c r="K50" s="47"/>
      <c r="L50" s="47"/>
      <c r="M50" s="47"/>
      <c r="N50" s="47"/>
      <c r="O50" s="47"/>
      <c r="P50" s="47"/>
    </row>
    <row r="51" spans="1:16">
      <c r="A51" s="1" t="s">
        <v>239</v>
      </c>
      <c r="C51" s="87" t="s">
        <v>53</v>
      </c>
      <c r="D51" s="98">
        <v>20</v>
      </c>
      <c r="E51" s="42"/>
      <c r="F51" s="87" t="s">
        <v>53</v>
      </c>
      <c r="G51" s="87" t="s">
        <v>246</v>
      </c>
      <c r="H51" s="98">
        <v>20</v>
      </c>
      <c r="I51" s="47"/>
      <c r="J51" s="47"/>
      <c r="K51" s="47"/>
      <c r="L51" s="47"/>
      <c r="M51" s="47"/>
      <c r="N51" s="47"/>
      <c r="O51" s="47"/>
      <c r="P51" s="47"/>
    </row>
    <row r="52" spans="1:16">
      <c r="A52" s="1" t="s">
        <v>240</v>
      </c>
      <c r="C52" s="87" t="s">
        <v>54</v>
      </c>
      <c r="D52" s="98">
        <v>60</v>
      </c>
      <c r="E52" s="42"/>
      <c r="F52" s="87" t="s">
        <v>54</v>
      </c>
      <c r="G52" s="87" t="s">
        <v>247</v>
      </c>
      <c r="H52" s="98">
        <v>60</v>
      </c>
      <c r="I52" s="47"/>
      <c r="J52" s="47"/>
      <c r="K52" s="47"/>
      <c r="L52" s="47"/>
      <c r="M52" s="47"/>
      <c r="N52" s="47"/>
      <c r="O52" s="47"/>
      <c r="P52" s="47"/>
    </row>
    <row r="53" spans="1:16">
      <c r="A53" s="1" t="s">
        <v>26</v>
      </c>
      <c r="C53" s="87" t="s">
        <v>55</v>
      </c>
      <c r="D53" s="98">
        <v>40</v>
      </c>
      <c r="E53" s="42"/>
      <c r="F53" s="87" t="s">
        <v>55</v>
      </c>
      <c r="G53" s="87" t="s">
        <v>248</v>
      </c>
      <c r="H53" s="98">
        <v>40</v>
      </c>
      <c r="I53" s="47"/>
      <c r="J53" s="47"/>
      <c r="K53" s="47"/>
      <c r="L53" s="47"/>
      <c r="M53" s="47"/>
      <c r="N53" s="47"/>
      <c r="O53" s="47"/>
      <c r="P53" s="47"/>
    </row>
    <row r="54" spans="1:16">
      <c r="A54" s="1" t="s">
        <v>49</v>
      </c>
      <c r="C54" s="87" t="s">
        <v>52</v>
      </c>
      <c r="D54" s="98">
        <v>50</v>
      </c>
      <c r="E54" s="42"/>
      <c r="F54" s="87" t="s">
        <v>52</v>
      </c>
      <c r="G54" s="87" t="s">
        <v>249</v>
      </c>
      <c r="H54" s="98">
        <v>50</v>
      </c>
      <c r="I54" s="47"/>
      <c r="J54" s="47"/>
      <c r="K54" s="47"/>
      <c r="L54" s="47"/>
      <c r="M54" s="47"/>
      <c r="N54" s="47"/>
      <c r="O54" s="47"/>
      <c r="P54" s="47"/>
    </row>
    <row r="55" spans="1:16">
      <c r="A55" s="1" t="s">
        <v>22</v>
      </c>
      <c r="C55" s="87" t="s">
        <v>53</v>
      </c>
      <c r="D55" s="98">
        <v>20</v>
      </c>
      <c r="E55" s="42"/>
      <c r="F55" s="87" t="s">
        <v>53</v>
      </c>
      <c r="G55" s="87" t="s">
        <v>250</v>
      </c>
      <c r="H55" s="98">
        <v>20</v>
      </c>
      <c r="I55" s="47"/>
      <c r="J55" s="47"/>
      <c r="K55" s="47"/>
      <c r="L55" s="47"/>
      <c r="M55" s="47"/>
      <c r="N55" s="47"/>
      <c r="O55" s="47"/>
      <c r="P55" s="47"/>
    </row>
    <row r="56" spans="1:16">
      <c r="C56" s="87" t="s">
        <v>54</v>
      </c>
      <c r="D56" s="98">
        <v>60</v>
      </c>
      <c r="E56" s="42"/>
      <c r="F56" s="87" t="s">
        <v>54</v>
      </c>
      <c r="G56" s="87" t="s">
        <v>251</v>
      </c>
      <c r="H56" s="98">
        <v>60</v>
      </c>
      <c r="I56" s="47"/>
      <c r="J56" s="47"/>
      <c r="K56" s="47"/>
      <c r="L56" s="47"/>
      <c r="M56" s="47"/>
      <c r="N56" s="47"/>
      <c r="O56" s="47"/>
      <c r="P56" s="47"/>
    </row>
    <row r="57" spans="1:16">
      <c r="C57" s="87" t="s">
        <v>55</v>
      </c>
      <c r="D57" s="98">
        <v>40</v>
      </c>
      <c r="E57" s="42"/>
      <c r="F57" s="87" t="s">
        <v>55</v>
      </c>
      <c r="G57" s="87" t="s">
        <v>252</v>
      </c>
      <c r="H57" s="98">
        <v>40</v>
      </c>
      <c r="I57" s="47"/>
      <c r="J57" s="47"/>
      <c r="K57" s="47"/>
      <c r="L57" s="47"/>
      <c r="M57" s="47"/>
      <c r="N57" s="47"/>
      <c r="O57" s="47"/>
      <c r="P57" s="47"/>
    </row>
    <row r="58" spans="1:16">
      <c r="C58" s="87" t="s">
        <v>52</v>
      </c>
      <c r="D58" s="98">
        <v>50</v>
      </c>
      <c r="E58" s="42"/>
      <c r="F58" s="87" t="s">
        <v>52</v>
      </c>
      <c r="G58" s="87" t="s">
        <v>249</v>
      </c>
      <c r="H58" s="98">
        <v>50</v>
      </c>
      <c r="I58" s="47"/>
      <c r="J58" s="47"/>
      <c r="K58" s="47"/>
      <c r="L58" s="47"/>
      <c r="M58" s="47"/>
      <c r="N58" s="47"/>
      <c r="O58" s="47"/>
      <c r="P58" s="47"/>
    </row>
    <row r="59" spans="1:16">
      <c r="C59" s="87" t="s">
        <v>53</v>
      </c>
      <c r="D59" s="98">
        <v>20</v>
      </c>
      <c r="E59" s="42"/>
      <c r="F59" s="87" t="s">
        <v>53</v>
      </c>
      <c r="G59" s="87" t="s">
        <v>250</v>
      </c>
      <c r="H59" s="98">
        <v>20</v>
      </c>
      <c r="I59" s="47"/>
      <c r="J59" s="47"/>
      <c r="K59" s="47"/>
      <c r="L59" s="47"/>
      <c r="M59" s="47"/>
      <c r="N59" s="47"/>
      <c r="O59" s="47"/>
      <c r="P59" s="47"/>
    </row>
    <row r="60" spans="1:16">
      <c r="C60" s="87" t="s">
        <v>54</v>
      </c>
      <c r="D60" s="98">
        <v>60</v>
      </c>
      <c r="E60" s="42"/>
      <c r="F60" s="87" t="s">
        <v>54</v>
      </c>
      <c r="G60" s="87" t="s">
        <v>247</v>
      </c>
      <c r="H60" s="98">
        <v>60</v>
      </c>
      <c r="I60" s="47"/>
      <c r="J60" s="47"/>
      <c r="K60" s="47"/>
      <c r="L60" s="47"/>
      <c r="M60" s="47"/>
      <c r="N60" s="47"/>
      <c r="O60" s="47"/>
      <c r="P60" s="47"/>
    </row>
    <row r="61" spans="1:16">
      <c r="C61" s="87" t="s">
        <v>55</v>
      </c>
      <c r="D61" s="98">
        <v>40</v>
      </c>
      <c r="E61" s="42"/>
      <c r="F61" s="87" t="s">
        <v>55</v>
      </c>
      <c r="G61" s="87" t="s">
        <v>252</v>
      </c>
      <c r="H61" s="98">
        <v>40</v>
      </c>
      <c r="I61" s="47"/>
      <c r="J61" s="47"/>
      <c r="K61" s="47"/>
      <c r="L61" s="47"/>
      <c r="M61" s="47"/>
      <c r="N61" s="47"/>
      <c r="O61" s="47"/>
      <c r="P61" s="47"/>
    </row>
    <row r="62" spans="1:16">
      <c r="C62" s="10"/>
      <c r="D62" s="10"/>
      <c r="E62" s="10"/>
      <c r="F62" s="10"/>
      <c r="G62" s="10"/>
      <c r="H62" s="10"/>
      <c r="I62" s="47"/>
      <c r="J62" s="47"/>
      <c r="K62" s="47"/>
      <c r="L62" s="47"/>
      <c r="M62" s="47"/>
      <c r="N62" s="47"/>
      <c r="O62" s="47"/>
      <c r="P62" s="47"/>
    </row>
    <row r="63" spans="1:16" ht="17.25" thickBot="1">
      <c r="C63" s="47" t="s">
        <v>51</v>
      </c>
      <c r="D63" s="80" t="s">
        <v>243</v>
      </c>
      <c r="E63" s="42"/>
      <c r="F63" s="47" t="s">
        <v>51</v>
      </c>
      <c r="G63" s="47" t="s">
        <v>244</v>
      </c>
      <c r="H63" s="80" t="s">
        <v>255</v>
      </c>
      <c r="I63" s="47"/>
      <c r="J63" s="47"/>
      <c r="K63" s="47"/>
      <c r="L63" s="47"/>
      <c r="M63" s="47"/>
      <c r="N63" s="47"/>
      <c r="O63" s="47"/>
      <c r="P63" s="47"/>
    </row>
    <row r="64" spans="1:16" ht="18" thickTop="1" thickBot="1">
      <c r="C64" s="14" t="s">
        <v>52</v>
      </c>
      <c r="D64" s="94">
        <f>COUNTIF(C50:C61,C64)</f>
        <v>3</v>
      </c>
      <c r="E64" s="42"/>
      <c r="F64" s="14" t="s">
        <v>53</v>
      </c>
      <c r="G64" s="14" t="s">
        <v>246</v>
      </c>
      <c r="H64" s="83">
        <f>COUNTIFS(F50:F61,F64,G50:G61,G64)</f>
        <v>1</v>
      </c>
      <c r="I64" s="47"/>
      <c r="J64" s="47"/>
      <c r="K64" s="47"/>
      <c r="L64" s="47"/>
      <c r="M64" s="47"/>
      <c r="N64" s="47"/>
      <c r="O64" s="47"/>
      <c r="P64" s="47"/>
    </row>
    <row r="65" spans="3:16" ht="17.25" thickTop="1">
      <c r="C65" s="47"/>
      <c r="D65" s="47"/>
      <c r="E65" s="42"/>
      <c r="F65" s="47"/>
      <c r="G65" s="47"/>
      <c r="H65" s="47"/>
      <c r="I65" s="47"/>
      <c r="J65" s="47"/>
      <c r="K65" s="47"/>
      <c r="L65" s="47"/>
      <c r="M65" s="47"/>
      <c r="N65" s="47"/>
      <c r="O65" s="47"/>
      <c r="P65" s="47"/>
    </row>
    <row r="66" spans="3:16">
      <c r="C66" s="54"/>
      <c r="D66" s="54"/>
      <c r="E66" s="54"/>
      <c r="F66" s="54"/>
      <c r="G66" s="54"/>
      <c r="H66" s="54"/>
      <c r="I66" s="47"/>
      <c r="J66" s="47"/>
      <c r="K66" s="47"/>
      <c r="L66" s="47"/>
      <c r="M66" s="47"/>
      <c r="N66" s="47"/>
      <c r="O66" s="47"/>
      <c r="P66" s="47"/>
    </row>
    <row r="67" spans="3:16">
      <c r="C67" s="54"/>
      <c r="D67" s="54"/>
      <c r="E67" s="54"/>
      <c r="F67" s="54"/>
      <c r="G67" s="54"/>
      <c r="H67" s="54"/>
      <c r="I67" s="47"/>
      <c r="J67" s="47"/>
      <c r="K67" s="47"/>
      <c r="L67" s="47"/>
      <c r="M67" s="47"/>
      <c r="N67" s="47"/>
      <c r="O67" s="47"/>
      <c r="P67" s="47"/>
    </row>
    <row r="68" spans="3:16">
      <c r="C68" s="54"/>
      <c r="D68" s="54"/>
      <c r="E68" s="54"/>
      <c r="F68" s="54"/>
      <c r="G68" s="54"/>
      <c r="H68" s="54"/>
      <c r="I68" s="47"/>
      <c r="J68" s="47"/>
      <c r="K68" s="47"/>
      <c r="L68" s="47"/>
      <c r="M68" s="47"/>
      <c r="N68" s="47"/>
      <c r="O68" s="47"/>
      <c r="P68" s="47"/>
    </row>
    <row r="69" spans="3:16">
      <c r="C69" s="54"/>
      <c r="D69" s="54"/>
      <c r="E69" s="54"/>
      <c r="F69" s="54"/>
      <c r="G69" s="54"/>
      <c r="H69" s="54"/>
      <c r="I69" s="47"/>
      <c r="J69" s="47"/>
      <c r="K69" s="47"/>
      <c r="L69" s="47"/>
      <c r="M69" s="47"/>
      <c r="N69" s="47"/>
      <c r="O69" s="47"/>
      <c r="P69" s="47"/>
    </row>
    <row r="70" spans="3:16">
      <c r="C70" s="54"/>
      <c r="D70" s="54"/>
      <c r="E70" s="54"/>
      <c r="F70" s="54"/>
      <c r="G70" s="54"/>
      <c r="H70" s="54"/>
      <c r="I70" s="47"/>
      <c r="J70" s="47"/>
      <c r="K70" s="47"/>
      <c r="L70" s="47"/>
      <c r="M70" s="47"/>
      <c r="N70" s="47"/>
      <c r="O70" s="47"/>
      <c r="P70" s="47"/>
    </row>
    <row r="71" spans="3:16">
      <c r="C71" s="54"/>
      <c r="D71" s="54"/>
      <c r="E71" s="54"/>
      <c r="F71" s="54"/>
      <c r="G71" s="54"/>
      <c r="H71" s="54"/>
      <c r="I71" s="47"/>
      <c r="J71" s="47"/>
      <c r="K71" s="47"/>
      <c r="L71" s="47"/>
      <c r="M71" s="47"/>
      <c r="N71" s="47"/>
      <c r="O71" s="47"/>
      <c r="P71" s="47"/>
    </row>
    <row r="72" spans="3:16">
      <c r="C72" s="54"/>
      <c r="D72" s="54"/>
      <c r="E72" s="54"/>
      <c r="F72" s="54"/>
      <c r="G72" s="54"/>
      <c r="H72" s="54"/>
      <c r="I72" s="47"/>
      <c r="J72" s="47"/>
      <c r="K72" s="47"/>
      <c r="L72" s="47"/>
      <c r="M72" s="47"/>
      <c r="N72" s="47"/>
      <c r="O72" s="47"/>
      <c r="P72" s="47"/>
    </row>
    <row r="73" spans="3:16">
      <c r="C73" s="54"/>
      <c r="D73" s="54"/>
      <c r="E73" s="54"/>
      <c r="F73" s="54"/>
      <c r="G73" s="54"/>
      <c r="H73" s="54"/>
      <c r="I73" s="47"/>
      <c r="J73" s="47"/>
      <c r="K73" s="47"/>
      <c r="L73" s="47"/>
      <c r="M73" s="47"/>
      <c r="N73" s="47"/>
      <c r="O73" s="47"/>
      <c r="P73" s="47"/>
    </row>
    <row r="74" spans="3:16">
      <c r="C74" s="54"/>
      <c r="D74" s="54"/>
      <c r="E74" s="54"/>
      <c r="F74" s="54"/>
      <c r="G74" s="54"/>
      <c r="H74" s="54"/>
      <c r="I74" s="47"/>
      <c r="J74" s="47"/>
      <c r="K74" s="47"/>
      <c r="L74" s="47"/>
      <c r="M74" s="47"/>
      <c r="N74" s="47"/>
      <c r="O74" s="47"/>
      <c r="P74" s="47"/>
    </row>
    <row r="75" spans="3:16">
      <c r="C75" s="54"/>
      <c r="D75" s="54"/>
      <c r="E75" s="54"/>
      <c r="F75" s="54"/>
      <c r="G75" s="54"/>
      <c r="H75" s="54"/>
      <c r="I75" s="47"/>
      <c r="J75" s="47"/>
      <c r="K75" s="47"/>
      <c r="L75" s="47"/>
      <c r="M75" s="47"/>
      <c r="N75" s="47"/>
      <c r="O75" s="47"/>
      <c r="P75" s="47"/>
    </row>
    <row r="76" spans="3:16">
      <c r="C76" s="54"/>
      <c r="D76" s="54"/>
      <c r="E76" s="54"/>
      <c r="F76" s="54"/>
      <c r="G76" s="54"/>
      <c r="H76" s="54"/>
      <c r="I76" s="47"/>
      <c r="J76" s="47"/>
      <c r="K76" s="47"/>
      <c r="L76" s="47"/>
      <c r="M76" s="47"/>
      <c r="N76" s="47"/>
      <c r="O76" s="47"/>
      <c r="P76" s="47"/>
    </row>
    <row r="77" spans="3:16">
      <c r="C77" s="54"/>
      <c r="D77" s="54"/>
      <c r="E77" s="54"/>
      <c r="F77" s="54"/>
      <c r="G77" s="54"/>
      <c r="H77" s="54"/>
      <c r="I77" s="47"/>
      <c r="J77" s="47"/>
      <c r="K77" s="47"/>
      <c r="L77" s="47"/>
      <c r="M77" s="47"/>
      <c r="N77" s="47"/>
      <c r="O77" s="47"/>
      <c r="P77" s="47"/>
    </row>
    <row r="78" spans="3:16">
      <c r="C78" s="54"/>
      <c r="D78" s="54"/>
      <c r="E78" s="54"/>
      <c r="F78" s="54"/>
      <c r="G78" s="54"/>
      <c r="H78" s="54"/>
      <c r="I78" s="47"/>
      <c r="J78" s="47"/>
      <c r="K78" s="47"/>
      <c r="L78" s="47"/>
      <c r="M78" s="47"/>
      <c r="N78" s="47"/>
      <c r="O78" s="47"/>
      <c r="P78" s="47"/>
    </row>
    <row r="79" spans="3:16">
      <c r="C79" s="54"/>
      <c r="D79" s="54"/>
      <c r="E79" s="54"/>
      <c r="F79" s="54"/>
      <c r="G79" s="54"/>
      <c r="H79" s="54"/>
      <c r="I79" s="47"/>
      <c r="J79" s="47"/>
      <c r="K79" s="47"/>
      <c r="L79" s="47"/>
      <c r="M79" s="47"/>
      <c r="N79" s="47"/>
      <c r="O79" s="47"/>
      <c r="P79" s="47"/>
    </row>
    <row r="80" spans="3:16">
      <c r="C80" s="54"/>
      <c r="D80" s="54"/>
      <c r="E80" s="54"/>
      <c r="F80" s="54"/>
      <c r="G80" s="54"/>
      <c r="H80" s="54"/>
      <c r="I80" s="47"/>
      <c r="J80" s="47"/>
      <c r="K80" s="47"/>
      <c r="L80" s="47"/>
      <c r="M80" s="47"/>
      <c r="N80" s="47"/>
      <c r="O80" s="47"/>
      <c r="P80" s="47"/>
    </row>
    <row r="81" spans="3:16">
      <c r="C81" s="54"/>
      <c r="D81" s="54"/>
      <c r="E81" s="54"/>
      <c r="F81" s="54"/>
      <c r="G81" s="54"/>
      <c r="H81" s="54"/>
      <c r="I81" s="47"/>
      <c r="J81" s="47"/>
      <c r="K81" s="47"/>
      <c r="L81" s="47"/>
      <c r="M81" s="47"/>
      <c r="N81" s="47"/>
      <c r="O81" s="47"/>
      <c r="P81" s="47"/>
    </row>
    <row r="82" spans="3:16">
      <c r="F82" s="47"/>
      <c r="G82" s="47"/>
      <c r="H82" s="47"/>
      <c r="I82" s="47"/>
      <c r="J82" s="47"/>
      <c r="K82" s="47"/>
      <c r="L82" s="47"/>
      <c r="M82" s="47"/>
      <c r="N82" s="47"/>
      <c r="O82" s="47"/>
      <c r="P82" s="47"/>
    </row>
    <row r="83" spans="3:16">
      <c r="F83" s="47"/>
      <c r="G83" s="47"/>
      <c r="H83" s="47"/>
      <c r="I83" s="47"/>
      <c r="J83" s="47"/>
      <c r="K83" s="47"/>
      <c r="L83" s="47"/>
      <c r="M83" s="47"/>
      <c r="N83" s="47"/>
      <c r="O83" s="47"/>
      <c r="P83" s="47"/>
    </row>
    <row r="84" spans="3:16">
      <c r="F84" s="47"/>
      <c r="G84" s="47"/>
      <c r="H84" s="47"/>
      <c r="I84" s="47"/>
      <c r="J84" s="47"/>
      <c r="K84" s="47"/>
      <c r="L84" s="47"/>
      <c r="M84" s="47"/>
      <c r="N84" s="47"/>
      <c r="O84" s="47"/>
      <c r="P84" s="47"/>
    </row>
    <row r="85" spans="3:16">
      <c r="F85" s="47"/>
      <c r="G85" s="47"/>
      <c r="H85" s="47"/>
      <c r="I85" s="47"/>
      <c r="J85" s="47"/>
      <c r="K85" s="47"/>
      <c r="L85" s="47"/>
      <c r="M85" s="47"/>
      <c r="N85" s="47"/>
      <c r="O85" s="47"/>
      <c r="P85" s="47"/>
    </row>
    <row r="86" spans="3:16">
      <c r="F86" s="47"/>
      <c r="G86" s="47"/>
      <c r="H86" s="47"/>
      <c r="I86" s="47"/>
      <c r="J86" s="47"/>
      <c r="K86" s="47"/>
      <c r="L86" s="47"/>
      <c r="M86" s="47"/>
      <c r="N86" s="47"/>
      <c r="O86" s="47"/>
      <c r="P86" s="47"/>
    </row>
    <row r="87" spans="3:16">
      <c r="F87" s="47"/>
      <c r="G87" s="47"/>
      <c r="H87" s="47"/>
      <c r="I87" s="47"/>
      <c r="J87" s="47"/>
      <c r="K87" s="47"/>
      <c r="L87" s="47"/>
      <c r="M87" s="47"/>
      <c r="N87" s="47"/>
      <c r="O87" s="47"/>
      <c r="P87" s="47"/>
    </row>
    <row r="88" spans="3:16">
      <c r="F88" s="47"/>
      <c r="G88" s="47"/>
      <c r="H88" s="47"/>
      <c r="I88" s="47"/>
      <c r="J88" s="47"/>
      <c r="K88" s="47"/>
      <c r="L88" s="47"/>
      <c r="M88" s="47"/>
      <c r="N88" s="47"/>
      <c r="O88" s="47"/>
      <c r="P88" s="47"/>
    </row>
    <row r="89" spans="3:16">
      <c r="F89" s="47"/>
      <c r="G89" s="47"/>
      <c r="H89" s="47"/>
      <c r="I89" s="47"/>
      <c r="J89" s="47"/>
      <c r="K89" s="47"/>
      <c r="L89" s="47"/>
      <c r="M89" s="47"/>
      <c r="N89" s="47"/>
      <c r="O89" s="47"/>
      <c r="P89" s="47"/>
    </row>
    <row r="90" spans="3:16" ht="15" customHeight="1">
      <c r="J90" s="47"/>
      <c r="K90" s="47"/>
      <c r="N90" s="47"/>
    </row>
    <row r="91" spans="3:16" ht="15" customHeight="1">
      <c r="C91" s="8" t="s">
        <v>51</v>
      </c>
      <c r="D91" s="8" t="s">
        <v>244</v>
      </c>
      <c r="E91" s="6" t="s">
        <v>67</v>
      </c>
      <c r="J91" s="47"/>
      <c r="K91" s="47"/>
      <c r="N91" s="47"/>
    </row>
    <row r="92" spans="3:16" ht="15" customHeight="1">
      <c r="C92" s="87" t="s">
        <v>52</v>
      </c>
      <c r="D92" s="87" t="s">
        <v>245</v>
      </c>
      <c r="E92" s="98">
        <v>50</v>
      </c>
    </row>
    <row r="93" spans="3:16" ht="15" customHeight="1">
      <c r="C93" s="87" t="s">
        <v>53</v>
      </c>
      <c r="D93" s="87" t="s">
        <v>246</v>
      </c>
      <c r="E93" s="98">
        <v>20</v>
      </c>
    </row>
    <row r="94" spans="3:16" ht="15" customHeight="1">
      <c r="C94" s="87" t="s">
        <v>54</v>
      </c>
      <c r="D94" s="87" t="s">
        <v>247</v>
      </c>
      <c r="E94" s="98">
        <v>60</v>
      </c>
      <c r="H94" s="47"/>
      <c r="I94" s="47"/>
      <c r="J94" s="47"/>
      <c r="K94" s="47"/>
    </row>
    <row r="95" spans="3:16" ht="15" customHeight="1">
      <c r="C95" s="87" t="s">
        <v>55</v>
      </c>
      <c r="D95" s="87" t="s">
        <v>248</v>
      </c>
      <c r="E95" s="98">
        <v>40</v>
      </c>
      <c r="H95" s="47"/>
      <c r="I95" s="47"/>
      <c r="J95" s="47"/>
      <c r="K95" s="47"/>
    </row>
    <row r="96" spans="3:16" ht="15" customHeight="1">
      <c r="C96" s="87" t="s">
        <v>52</v>
      </c>
      <c r="D96" s="87" t="s">
        <v>249</v>
      </c>
      <c r="E96" s="98">
        <v>50</v>
      </c>
    </row>
    <row r="97" spans="3:7">
      <c r="C97" s="87" t="s">
        <v>53</v>
      </c>
      <c r="D97" s="87" t="s">
        <v>250</v>
      </c>
      <c r="E97" s="98">
        <v>20</v>
      </c>
    </row>
    <row r="98" spans="3:7">
      <c r="C98" s="87" t="s">
        <v>54</v>
      </c>
      <c r="D98" s="87" t="s">
        <v>251</v>
      </c>
      <c r="E98" s="98">
        <v>60</v>
      </c>
    </row>
    <row r="99" spans="3:7">
      <c r="C99" s="87" t="s">
        <v>55</v>
      </c>
      <c r="D99" s="87" t="s">
        <v>252</v>
      </c>
      <c r="E99" s="98">
        <v>40</v>
      </c>
    </row>
    <row r="100" spans="3:7">
      <c r="C100" s="87" t="s">
        <v>52</v>
      </c>
      <c r="D100" s="87" t="s">
        <v>249</v>
      </c>
      <c r="E100" s="98">
        <v>50</v>
      </c>
    </row>
    <row r="101" spans="3:7">
      <c r="C101" s="87" t="s">
        <v>53</v>
      </c>
      <c r="D101" s="87" t="s">
        <v>250</v>
      </c>
      <c r="E101" s="98">
        <v>20</v>
      </c>
    </row>
    <row r="102" spans="3:7" ht="15" customHeight="1">
      <c r="C102" s="87" t="s">
        <v>54</v>
      </c>
      <c r="D102" s="87" t="s">
        <v>247</v>
      </c>
      <c r="E102" s="98">
        <v>60</v>
      </c>
      <c r="F102" s="54"/>
      <c r="G102" s="54"/>
    </row>
    <row r="103" spans="3:7" ht="15" customHeight="1">
      <c r="C103" s="87" t="s">
        <v>55</v>
      </c>
      <c r="D103" s="87" t="s">
        <v>252</v>
      </c>
      <c r="E103" s="98">
        <v>40</v>
      </c>
      <c r="F103" s="54"/>
      <c r="G103" s="54"/>
    </row>
    <row r="104" spans="3:7" ht="15" customHeight="1">
      <c r="C104" s="47"/>
      <c r="D104" s="47"/>
      <c r="E104" s="42"/>
    </row>
    <row r="105" spans="3:7" ht="15" customHeight="1" thickBot="1">
      <c r="C105" s="47" t="s">
        <v>51</v>
      </c>
      <c r="D105" s="47" t="s">
        <v>244</v>
      </c>
      <c r="E105" s="80" t="s">
        <v>253</v>
      </c>
    </row>
    <row r="106" spans="3:7" ht="16.5" customHeight="1" thickTop="1" thickBot="1">
      <c r="C106" s="14" t="s">
        <v>55</v>
      </c>
      <c r="D106" s="14" t="s">
        <v>252</v>
      </c>
      <c r="E106" s="83">
        <f>SUMIFS(E92:E103,C92:C103,C106,D92:D103,D106)</f>
        <v>80</v>
      </c>
    </row>
    <row r="107" spans="3:7" ht="15" customHeight="1" thickTop="1"/>
    <row r="117" spans="3:4">
      <c r="C117" s="8" t="s">
        <v>241</v>
      </c>
      <c r="D117" s="8" t="s">
        <v>67</v>
      </c>
    </row>
    <row r="118" spans="3:4">
      <c r="C118" s="99" t="s">
        <v>58</v>
      </c>
      <c r="D118" s="99">
        <v>50</v>
      </c>
    </row>
    <row r="119" spans="3:4">
      <c r="C119" s="99" t="s">
        <v>59</v>
      </c>
      <c r="D119" s="99">
        <v>100</v>
      </c>
    </row>
    <row r="120" spans="3:4">
      <c r="C120" s="99" t="s">
        <v>60</v>
      </c>
      <c r="D120" s="99">
        <v>40</v>
      </c>
    </row>
    <row r="121" spans="3:4">
      <c r="C121" s="99" t="s">
        <v>61</v>
      </c>
      <c r="D121" s="99">
        <v>50</v>
      </c>
    </row>
    <row r="122" spans="3:4" ht="17.25" thickBot="1">
      <c r="C122" s="99" t="s">
        <v>62</v>
      </c>
      <c r="D122" s="99">
        <v>20</v>
      </c>
    </row>
    <row r="123" spans="3:4" ht="18" thickTop="1" thickBot="1">
      <c r="C123" s="100"/>
      <c r="D123" s="18">
        <f>SUMIF(D118:D122,"&gt;50")</f>
        <v>100</v>
      </c>
    </row>
    <row r="124" spans="3:4" ht="17.25" thickTop="1"/>
  </sheetData>
  <phoneticPr fontId="7" type="noConversion"/>
  <dataValidations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paperSize="9" orientation="landscape"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4"/>
  <sheetViews>
    <sheetView showGridLines="0" workbookViewId="0"/>
  </sheetViews>
  <sheetFormatPr defaultRowHeight="16.5"/>
  <cols>
    <col min="1" max="1" width="13.109375" style="10" customWidth="1"/>
    <col min="2" max="2" width="65.77734375" style="10" customWidth="1"/>
    <col min="3" max="4" width="13.21875" style="10" customWidth="1"/>
    <col min="5" max="16384" width="8.88671875" style="10"/>
  </cols>
  <sheetData>
    <row r="1" spans="1:7" ht="60" customHeight="1">
      <c r="A1" s="2" t="s">
        <v>256</v>
      </c>
      <c r="C1" s="11"/>
      <c r="D1" s="12"/>
    </row>
    <row r="2" spans="1:7">
      <c r="A2" s="2" t="s">
        <v>257</v>
      </c>
      <c r="G2" s="2"/>
    </row>
    <row r="3" spans="1:7" ht="15" customHeight="1">
      <c r="A3" s="3" t="s">
        <v>295</v>
      </c>
    </row>
    <row r="4" spans="1:7" ht="15" customHeight="1">
      <c r="A4" s="3" t="s">
        <v>258</v>
      </c>
      <c r="C4" s="78" t="s">
        <v>51</v>
      </c>
      <c r="D4" s="79" t="s">
        <v>67</v>
      </c>
    </row>
    <row r="5" spans="1:7" ht="15" customHeight="1">
      <c r="A5" s="3" t="s">
        <v>259</v>
      </c>
      <c r="C5" s="87" t="s">
        <v>52</v>
      </c>
      <c r="D5" s="98">
        <v>50</v>
      </c>
    </row>
    <row r="6" spans="1:7">
      <c r="A6" s="2" t="s">
        <v>260</v>
      </c>
      <c r="C6" s="87" t="s">
        <v>53</v>
      </c>
      <c r="D6" s="98">
        <v>20</v>
      </c>
    </row>
    <row r="7" spans="1:7" ht="15" customHeight="1">
      <c r="A7" s="3" t="s">
        <v>261</v>
      </c>
      <c r="C7" s="87" t="s">
        <v>54</v>
      </c>
      <c r="D7" s="98">
        <v>60</v>
      </c>
    </row>
    <row r="8" spans="1:7" ht="15" customHeight="1">
      <c r="A8" s="2" t="s">
        <v>21</v>
      </c>
      <c r="C8" s="87" t="s">
        <v>55</v>
      </c>
      <c r="D8" s="98">
        <v>40</v>
      </c>
    </row>
    <row r="9" spans="1:7" ht="15" customHeight="1" thickBot="1">
      <c r="A9" s="2" t="s">
        <v>22</v>
      </c>
      <c r="C9" s="47"/>
      <c r="D9" s="47"/>
    </row>
    <row r="10" spans="1:7" ht="18" thickTop="1" thickBot="1">
      <c r="A10" s="2" t="s">
        <v>23</v>
      </c>
      <c r="C10" s="82" t="s">
        <v>52</v>
      </c>
      <c r="D10" s="83">
        <f>VLOOKUP(C10,C5:D8,2,FALSE)</f>
        <v>50</v>
      </c>
    </row>
    <row r="11" spans="1:7" ht="17.25" thickTop="1">
      <c r="A11" s="2" t="s">
        <v>25</v>
      </c>
    </row>
    <row r="12" spans="1:7">
      <c r="A12" s="2" t="s">
        <v>299</v>
      </c>
    </row>
    <row r="13" spans="1:7">
      <c r="A13" s="2" t="s">
        <v>300</v>
      </c>
    </row>
    <row r="14" spans="1:7">
      <c r="A14" s="2" t="s">
        <v>26</v>
      </c>
    </row>
  </sheetData>
  <phoneticPr fontId="7" type="noConversion"/>
  <dataValidations count="1">
    <dataValidation type="list" allowBlank="1" showInputMessage="1" showErrorMessage="1" sqref="C10" xr:uid="{00000000-0002-0000-0A00-000000000000}">
      <formula1>$C$5:$C$8</formula1>
    </dataValidation>
  </dataValidations>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37"/>
  <sheetViews>
    <sheetView showGridLines="0" workbookViewId="0"/>
  </sheetViews>
  <sheetFormatPr defaultRowHeight="16.5"/>
  <cols>
    <col min="1" max="1" width="13.109375" style="10" customWidth="1"/>
    <col min="2" max="2" width="65.77734375" style="10" customWidth="1"/>
    <col min="3" max="4" width="13.33203125" style="10" customWidth="1"/>
    <col min="5" max="16384" width="8.88671875" style="10"/>
  </cols>
  <sheetData>
    <row r="1" spans="1:7" ht="60" customHeight="1">
      <c r="A1" s="2" t="s">
        <v>262</v>
      </c>
      <c r="C1" s="11"/>
      <c r="D1" s="101"/>
    </row>
    <row r="2" spans="1:7" ht="15" customHeight="1">
      <c r="A2" s="2" t="s">
        <v>263</v>
      </c>
      <c r="C2" s="102"/>
      <c r="D2" s="102"/>
      <c r="G2" s="2"/>
    </row>
    <row r="3" spans="1:7" ht="16.5" customHeight="1">
      <c r="A3" s="3" t="s">
        <v>286</v>
      </c>
      <c r="C3" s="78" t="s">
        <v>51</v>
      </c>
      <c r="D3" s="79" t="s">
        <v>67</v>
      </c>
    </row>
    <row r="4" spans="1:7" ht="15" customHeight="1">
      <c r="A4" s="3" t="s">
        <v>287</v>
      </c>
      <c r="C4" s="17" t="s">
        <v>52</v>
      </c>
      <c r="D4" s="45">
        <v>50</v>
      </c>
    </row>
    <row r="5" spans="1:7">
      <c r="A5" s="2" t="s">
        <v>264</v>
      </c>
      <c r="C5" s="17" t="s">
        <v>53</v>
      </c>
      <c r="D5" s="45">
        <v>20</v>
      </c>
    </row>
    <row r="6" spans="1:7">
      <c r="A6" s="2" t="s">
        <v>265</v>
      </c>
      <c r="C6" s="17" t="s">
        <v>54</v>
      </c>
      <c r="D6" s="45">
        <v>60</v>
      </c>
    </row>
    <row r="7" spans="1:7" ht="15" customHeight="1">
      <c r="A7" s="3" t="s">
        <v>266</v>
      </c>
      <c r="C7" s="17" t="s">
        <v>55</v>
      </c>
      <c r="D7" s="45">
        <v>40</v>
      </c>
    </row>
    <row r="8" spans="1:7" ht="17.25" thickBot="1">
      <c r="A8" s="2" t="s">
        <v>21</v>
      </c>
      <c r="C8" s="47"/>
      <c r="D8" s="47"/>
    </row>
    <row r="9" spans="1:7" ht="18" thickTop="1" thickBot="1">
      <c r="A9" s="2" t="s">
        <v>22</v>
      </c>
      <c r="C9" s="114" t="s">
        <v>285</v>
      </c>
      <c r="D9" s="83" t="e">
        <f>VLOOKUP(C9,C3:D7,2,FALSE)</f>
        <v>#N/A</v>
      </c>
    </row>
    <row r="10" spans="1:7" ht="17.25" thickTop="1">
      <c r="A10" s="2" t="s">
        <v>23</v>
      </c>
    </row>
    <row r="11" spans="1:7">
      <c r="A11" s="2" t="s">
        <v>301</v>
      </c>
    </row>
    <row r="12" spans="1:7">
      <c r="A12" s="2" t="s">
        <v>302</v>
      </c>
    </row>
    <row r="13" spans="1:7">
      <c r="A13" s="2" t="s">
        <v>303</v>
      </c>
    </row>
    <row r="14" spans="1:7">
      <c r="A14" s="2" t="s">
        <v>26</v>
      </c>
    </row>
    <row r="30" spans="3:4">
      <c r="C30" s="78" t="s">
        <v>51</v>
      </c>
      <c r="D30" s="79" t="s">
        <v>67</v>
      </c>
    </row>
    <row r="31" spans="3:4">
      <c r="C31" s="17" t="s">
        <v>52</v>
      </c>
      <c r="D31" s="45">
        <v>50</v>
      </c>
    </row>
    <row r="32" spans="3:4">
      <c r="C32" s="17" t="s">
        <v>53</v>
      </c>
      <c r="D32" s="45">
        <v>20</v>
      </c>
    </row>
    <row r="33" spans="3:4">
      <c r="C33" s="17" t="s">
        <v>54</v>
      </c>
      <c r="D33" s="45">
        <v>60</v>
      </c>
    </row>
    <row r="34" spans="3:4">
      <c r="C34" s="17" t="s">
        <v>55</v>
      </c>
      <c r="D34" s="45">
        <v>40</v>
      </c>
    </row>
    <row r="35" spans="3:4" ht="17.25" thickBot="1"/>
    <row r="36" spans="3:4" ht="18" thickTop="1" thickBot="1">
      <c r="C36" s="82" t="s">
        <v>181</v>
      </c>
      <c r="D36" s="83" t="e">
        <f ca="1">sume(D31:D34)</f>
        <v>#NAME?</v>
      </c>
    </row>
    <row r="37" spans="3:4" ht="17.25" thickTop="1"/>
  </sheetData>
  <phoneticPr fontId="7" type="noConversion"/>
  <dataValidations count="1">
    <dataValidation type="list" allowBlank="1" showInputMessage="1" showErrorMessage="1" sqref="C9" xr:uid="{00000000-0002-0000-0B00-000000000000}">
      <formula1>$C$4:$C$7</formula1>
    </dataValidation>
  </dataValidations>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G5"/>
  <sheetViews>
    <sheetView showGridLines="0" zoomScaleNormal="100" workbookViewId="0"/>
  </sheetViews>
  <sheetFormatPr defaultColWidth="8.88671875" defaultRowHeight="15" customHeight="1"/>
  <cols>
    <col min="1" max="1" width="8.88671875" style="1"/>
    <col min="2" max="2" width="65.77734375" style="103" customWidth="1"/>
    <col min="3" max="16384" width="8.88671875" style="103"/>
  </cols>
  <sheetData>
    <row r="1" spans="1:7" ht="60" customHeight="1">
      <c r="A1" s="1" t="s">
        <v>267</v>
      </c>
    </row>
    <row r="2" spans="1:7" s="104" customFormat="1" ht="15" customHeight="1">
      <c r="A2" s="1" t="s">
        <v>268</v>
      </c>
      <c r="B2" s="103"/>
      <c r="G2" s="7"/>
    </row>
    <row r="3" spans="1:7" s="104" customFormat="1" ht="15" customHeight="1">
      <c r="A3" s="1" t="s">
        <v>269</v>
      </c>
      <c r="B3" s="103"/>
    </row>
    <row r="4" spans="1:7" s="105" customFormat="1" ht="15" customHeight="1">
      <c r="A4" s="1" t="s">
        <v>270</v>
      </c>
      <c r="B4" s="103"/>
    </row>
    <row r="5" spans="1:7" s="105" customFormat="1" ht="15" customHeight="1">
      <c r="A5" s="115" t="s">
        <v>271</v>
      </c>
      <c r="B5" s="103"/>
    </row>
  </sheetData>
  <phoneticPr fontId="7" type="noConversion"/>
  <hyperlinks>
    <hyperlink ref="A4" r:id="rId1" tooltip="选择此处，了解有关社区的详细信息" display="http://go.microsoft.com/fwlink/?LinkId=844969" xr:uid="{00000000-0004-0000-0C00-000000000000}"/>
    <hyperlink ref="A5" r:id="rId2" tooltip="选择此处，了解有关其他新增功能的详细信息" display="https://support.office.com/zh-cn/article/what-s-new-in-excel-2016-for-windows-5fdb9208-ff33-45b6-9e08-1f5cdb3a6c73?ui=zh-CN&amp;rs=zh-001&amp;ad=CN" xr:uid="{00000000-0004-0000-0C00-000001000000}"/>
  </hyperlinks>
  <pageMargins left="0.7" right="0.7" top="0.75" bottom="0.75" header="0.3" footer="0.3"/>
  <pageSetup paperSize="9" orientation="landscape"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开始</vt:lpstr>
      <vt:lpstr>基础知识</vt:lpstr>
      <vt:lpstr>函数简介</vt:lpstr>
      <vt:lpstr>AVERAGE</vt:lpstr>
      <vt:lpstr>MIN 和 MAX</vt:lpstr>
      <vt:lpstr>日期和时间​​</vt:lpstr>
      <vt:lpstr>联接文本和数字</vt:lpstr>
      <vt:lpstr>IF 语句</vt:lpstr>
      <vt:lpstr>VLOOKUP</vt:lpstr>
      <vt:lpstr>条件函数</vt:lpstr>
      <vt:lpstr>函数向导</vt:lpstr>
      <vt:lpstr>公式错误</vt:lpstr>
      <vt:lpstr>了解详细信息</vt:lpstr>
      <vt:lpstr>条件函数!Extract</vt:lpstr>
      <vt:lpstr>lst_Fruit</vt:lpstr>
      <vt:lpstr>lst_FruitType</vt:lpstr>
      <vt:lpstr>函数简介!MoreFruit</vt:lpstr>
      <vt:lpstr>函数简介!MoreItems</vt:lpstr>
      <vt:lpstr>函数简介!SUMExtraCredit</vt:lpstr>
      <vt:lpstr>函数简介!延伸知识</vt:lpstr>
      <vt:lpstr>函数简介!总计</vt:lpstr>
      <vt:lpstr>柠檬</vt:lpstr>
      <vt:lpstr>橙子</vt:lpstr>
      <vt:lpstr>函数简介!水果</vt:lpstr>
      <vt:lpstr>函数简介!肉类</vt:lpstr>
      <vt:lpstr>苹果</vt:lpstr>
      <vt:lpstr>函数简介!项目​​</vt:lpstr>
      <vt:lpstr>香蕉</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lastModifiedBy>Ziv Yang</cp:lastModifiedBy>
  <dcterms:created xsi:type="dcterms:W3CDTF">2018-02-03T09:21:33Z</dcterms:created>
  <dcterms:modified xsi:type="dcterms:W3CDTF">2018-03-30T07:52:23Z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2018-02-03T09:21:40.8531961Z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